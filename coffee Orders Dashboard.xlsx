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dria\Downloads\"/>
    </mc:Choice>
  </mc:AlternateContent>
  <xr:revisionPtr revIDLastSave="0" documentId="13_ncr:1_{AD436DC1-C5C3-4E50-9F65-937B2115B46D}" xr6:coauthVersionLast="47" xr6:coauthVersionMax="47" xr10:uidLastSave="{00000000-0000-0000-0000-000000000000}"/>
  <bookViews>
    <workbookView showHorizontalScroll="0" showVerticalScroll="0" showSheetTabs="0" xWindow="-120" yWindow="-120" windowWidth="23280" windowHeight="14880" xr2:uid="{00000000-000D-0000-FFFF-FFFF00000000}"/>
  </bookViews>
  <sheets>
    <sheet name="Dashboard" sheetId="25" r:id="rId1"/>
    <sheet name="TotalSales" sheetId="18" r:id="rId2"/>
    <sheet name="Top5Customers" sheetId="24" r:id="rId3"/>
    <sheet name="CountryBarChart"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N100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N16"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s="1"/>
  <c r="O30" i="17"/>
  <c r="O100" i="17"/>
  <c r="O228" i="17"/>
  <c r="O282" i="17"/>
  <c r="O310" i="17"/>
  <c r="O414" i="17"/>
  <c r="O492" i="17"/>
  <c r="O582" i="17"/>
  <c r="O658" i="17"/>
  <c r="O750" i="17"/>
  <c r="O792" i="17"/>
  <c r="O864" i="17"/>
  <c r="O868" i="17"/>
  <c r="O900" i="17"/>
  <c r="O948" i="17"/>
  <c r="O986" i="17"/>
  <c r="N32" i="17"/>
  <c r="N64" i="17"/>
  <c r="N112" i="17"/>
  <c r="N128" i="17"/>
  <c r="N216" i="17"/>
  <c r="N240" i="17"/>
  <c r="N278" i="17"/>
  <c r="N294" i="17"/>
  <c r="N328" i="17"/>
  <c r="N344" i="17"/>
  <c r="N382" i="17"/>
  <c r="N406" i="17"/>
  <c r="N494" i="17"/>
  <c r="N510" i="17"/>
  <c r="N600" i="17"/>
  <c r="N624" i="17"/>
  <c r="N654" i="17"/>
  <c r="N712" i="17"/>
  <c r="N728" i="17"/>
  <c r="N766" i="17"/>
  <c r="N782" i="17"/>
  <c r="N808" i="17"/>
  <c r="N856" i="17"/>
  <c r="N872" i="17"/>
  <c r="N904" i="17"/>
  <c r="N920" i="17"/>
  <c r="N944" i="17"/>
  <c r="N960" i="17"/>
  <c r="N992" i="17"/>
  <c r="M4" i="17"/>
  <c r="M5" i="17"/>
  <c r="M6" i="17"/>
  <c r="M10" i="17"/>
  <c r="M11" i="17"/>
  <c r="M18" i="17"/>
  <c r="M22" i="17"/>
  <c r="M23" i="17"/>
  <c r="M26" i="17"/>
  <c r="M27" i="17"/>
  <c r="M32" i="17"/>
  <c r="M38" i="17"/>
  <c r="M39" i="17"/>
  <c r="M40" i="17"/>
  <c r="M41" i="17"/>
  <c r="M48" i="17"/>
  <c r="M50" i="17"/>
  <c r="M51" i="17"/>
  <c r="M54" i="17"/>
  <c r="M62" i="17"/>
  <c r="M64" i="17"/>
  <c r="M65" i="17"/>
  <c r="M70" i="17"/>
  <c r="M71" i="17"/>
  <c r="M74" i="17"/>
  <c r="M80" i="17"/>
  <c r="M82" i="17"/>
  <c r="M83" i="17"/>
  <c r="M90" i="17"/>
  <c r="M94" i="17"/>
  <c r="M95" i="17"/>
  <c r="M96" i="17"/>
  <c r="M104" i="17"/>
  <c r="M106" i="17"/>
  <c r="M107" i="17"/>
  <c r="M112" i="17"/>
  <c r="M113" i="17"/>
  <c r="M118" i="17"/>
  <c r="M122" i="17"/>
  <c r="M126" i="17"/>
  <c r="M127" i="17"/>
  <c r="M134" i="17"/>
  <c r="M136" i="17"/>
  <c r="M137" i="17"/>
  <c r="M138" i="17"/>
  <c r="M139" i="17"/>
  <c r="M146" i="17"/>
  <c r="M150" i="17"/>
  <c r="M151" i="17"/>
  <c r="M154" i="17"/>
  <c r="M155" i="17"/>
  <c r="M160" i="17"/>
  <c r="M166" i="17"/>
  <c r="M167" i="17"/>
  <c r="M168" i="17"/>
  <c r="M176" i="17"/>
  <c r="M178" i="17"/>
  <c r="M179" i="17"/>
  <c r="M182" i="17"/>
  <c r="M183" i="17"/>
  <c r="M190" i="17"/>
  <c r="M192" i="17"/>
  <c r="M198" i="17"/>
  <c r="M199" i="17"/>
  <c r="M202" i="17"/>
  <c r="M208" i="17"/>
  <c r="M209" i="17"/>
  <c r="M210" i="17"/>
  <c r="M218" i="17"/>
  <c r="M222" i="17"/>
  <c r="M223" i="17"/>
  <c r="M224" i="17"/>
  <c r="M225" i="17"/>
  <c r="M232" i="17"/>
  <c r="M234" i="17"/>
  <c r="M240" i="17"/>
  <c r="M241" i="17"/>
  <c r="M246" i="17"/>
  <c r="M250" i="17"/>
  <c r="M251" i="17"/>
  <c r="M254" i="17"/>
  <c r="M255" i="17"/>
  <c r="M262" i="17"/>
  <c r="M264" i="17"/>
  <c r="M265" i="17"/>
  <c r="M266" i="17"/>
  <c r="M267" i="17"/>
  <c r="M274" i="17"/>
  <c r="M278" i="17"/>
  <c r="M279" i="17"/>
  <c r="M282" i="17"/>
  <c r="M288" i="17"/>
  <c r="M294" i="17"/>
  <c r="M295" i="17"/>
  <c r="M296" i="17"/>
  <c r="M297" i="17"/>
  <c r="M304" i="17"/>
  <c r="M306" i="17"/>
  <c r="M310" i="17"/>
  <c r="M311" i="17"/>
  <c r="M318" i="17"/>
  <c r="M320" i="17"/>
  <c r="M321" i="17"/>
  <c r="M326" i="17"/>
  <c r="M330" i="17"/>
  <c r="M336" i="17"/>
  <c r="M338" i="17"/>
  <c r="M339" i="17"/>
  <c r="M346" i="17"/>
  <c r="M350" i="17"/>
  <c r="M352" i="17"/>
  <c r="M360" i="17"/>
  <c r="M362" i="17"/>
  <c r="M363" i="17"/>
  <c r="M368" i="17"/>
  <c r="M369" i="17"/>
  <c r="M374" i="17"/>
  <c r="M378" i="17"/>
  <c r="M382" i="17"/>
  <c r="M383" i="17"/>
  <c r="M390" i="17"/>
  <c r="M392" i="17"/>
  <c r="M393" i="17"/>
  <c r="M394" i="17"/>
  <c r="M402" i="17"/>
  <c r="M406" i="17"/>
  <c r="M407" i="17"/>
  <c r="M410" i="17"/>
  <c r="M411" i="17"/>
  <c r="M416" i="17"/>
  <c r="M422" i="17"/>
  <c r="M424" i="17"/>
  <c r="M432" i="17"/>
  <c r="M434" i="17"/>
  <c r="M435" i="17"/>
  <c r="M438" i="17"/>
  <c r="M446" i="17"/>
  <c r="M448" i="17"/>
  <c r="M454" i="17"/>
  <c r="M455" i="17"/>
  <c r="M458" i="17"/>
  <c r="M464" i="17"/>
  <c r="M466" i="17"/>
  <c r="M474" i="17"/>
  <c r="M478" i="17"/>
  <c r="M479" i="17"/>
  <c r="M480" i="17"/>
  <c r="M481" i="17"/>
  <c r="M488" i="17"/>
  <c r="M490" i="17"/>
  <c r="M496" i="17"/>
  <c r="M497" i="17"/>
  <c r="M502" i="17"/>
  <c r="M503" i="17"/>
  <c r="M506" i="17"/>
  <c r="M510" i="17"/>
  <c r="M518" i="17"/>
  <c r="M519" i="17"/>
  <c r="M520" i="17"/>
  <c r="M521" i="17"/>
  <c r="M522" i="17"/>
  <c r="M530" i="17"/>
  <c r="M532" i="17"/>
  <c r="M534" i="17"/>
  <c r="M537" i="17"/>
  <c r="M538" i="17"/>
  <c r="M542" i="17"/>
  <c r="M546" i="17"/>
  <c r="M548" i="17"/>
  <c r="M554" i="17"/>
  <c r="M555" i="17"/>
  <c r="M556" i="17"/>
  <c r="M557" i="17"/>
  <c r="M558" i="17"/>
  <c r="M564" i="17"/>
  <c r="M566" i="17"/>
  <c r="M569" i="17"/>
  <c r="M570" i="17"/>
  <c r="M574" i="17"/>
  <c r="M577" i="17"/>
  <c r="M578" i="17"/>
  <c r="M580" i="17"/>
  <c r="M586" i="17"/>
  <c r="M587" i="17"/>
  <c r="M588" i="17"/>
  <c r="M589" i="17"/>
  <c r="M590" i="17"/>
  <c r="M596" i="17"/>
  <c r="M598" i="17"/>
  <c r="M602" i="17"/>
  <c r="M606" i="17"/>
  <c r="M609" i="17"/>
  <c r="M610" i="17"/>
  <c r="M612" i="17"/>
  <c r="M618" i="17"/>
  <c r="M620" i="17"/>
  <c r="M621" i="17"/>
  <c r="M622" i="17"/>
  <c r="M628" i="17"/>
  <c r="M630" i="17"/>
  <c r="M634" i="17"/>
  <c r="M638" i="17"/>
  <c r="M641" i="17"/>
  <c r="M642" i="17"/>
  <c r="M643" i="17"/>
  <c r="M644" i="17"/>
  <c r="M650" i="17"/>
  <c r="M652" i="17"/>
  <c r="M653" i="17"/>
  <c r="M654" i="17"/>
  <c r="M660" i="17"/>
  <c r="M661" i="17"/>
  <c r="M662" i="17"/>
  <c r="M666" i="17"/>
  <c r="M670" i="17"/>
  <c r="M673" i="17"/>
  <c r="M674" i="17"/>
  <c r="M675" i="17"/>
  <c r="M676" i="17"/>
  <c r="M682" i="17"/>
  <c r="M684" i="17"/>
  <c r="M686" i="17"/>
  <c r="M692" i="17"/>
  <c r="M693" i="17"/>
  <c r="M694" i="17"/>
  <c r="M698" i="17"/>
  <c r="M702" i="17"/>
  <c r="M704" i="17"/>
  <c r="M705" i="17"/>
  <c r="M706" i="17"/>
  <c r="M707" i="17"/>
  <c r="M710" i="17"/>
  <c r="M712" i="17"/>
  <c r="M714" i="17"/>
  <c r="M716" i="17"/>
  <c r="M720" i="17"/>
  <c r="M721" i="17"/>
  <c r="M722" i="17"/>
  <c r="M724" i="17"/>
  <c r="M730" i="17"/>
  <c r="M731" i="17"/>
  <c r="M732" i="17"/>
  <c r="M733" i="17"/>
  <c r="M734" i="17"/>
  <c r="M740" i="17"/>
  <c r="M742" i="17"/>
  <c r="M744" i="17"/>
  <c r="M748" i="17"/>
  <c r="M749" i="17"/>
  <c r="M750" i="17"/>
  <c r="M752" i="17"/>
  <c r="M758" i="17"/>
  <c r="M760" i="17"/>
  <c r="M761" i="17"/>
  <c r="M762" i="17"/>
  <c r="M766" i="17"/>
  <c r="M768" i="17"/>
  <c r="M777" i="17"/>
  <c r="M779" i="17"/>
  <c r="M789" i="17"/>
  <c r="M795" i="17"/>
  <c r="M805" i="17"/>
  <c r="M817" i="17"/>
  <c r="M821" i="17"/>
  <c r="M833" i="17"/>
  <c r="M835" i="17"/>
  <c r="M849" i="17"/>
  <c r="M851" i="17"/>
  <c r="M861" i="17"/>
  <c r="M867" i="17"/>
  <c r="M877" i="17"/>
  <c r="M881" i="17"/>
  <c r="M897" i="17"/>
  <c r="M907" i="17"/>
  <c r="M913" i="17"/>
  <c r="M923" i="17"/>
  <c r="M925" i="17"/>
  <c r="M941" i="17"/>
  <c r="M953" i="17"/>
  <c r="M967" i="17"/>
  <c r="M977" i="17"/>
  <c r="M991" i="17"/>
  <c r="M993" i="17"/>
  <c r="M1001" i="17"/>
  <c r="I3" i="17"/>
  <c r="N3" i="17" s="1"/>
  <c r="J3" i="17"/>
  <c r="O3" i="17" s="1"/>
  <c r="K3" i="17"/>
  <c r="L3" i="17"/>
  <c r="M3" i="17" s="1"/>
  <c r="I4" i="17"/>
  <c r="N4" i="17" s="1"/>
  <c r="J4" i="17"/>
  <c r="O4" i="17" s="1"/>
  <c r="K4" i="17"/>
  <c r="L4" i="17"/>
  <c r="I5" i="17"/>
  <c r="N5" i="17" s="1"/>
  <c r="J5" i="17"/>
  <c r="O5" i="17" s="1"/>
  <c r="K5" i="17"/>
  <c r="L5" i="17"/>
  <c r="I6" i="17"/>
  <c r="N6" i="17" s="1"/>
  <c r="J6" i="17"/>
  <c r="O6" i="17" s="1"/>
  <c r="K6" i="17"/>
  <c r="L6"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I11" i="17"/>
  <c r="N11" i="17" s="1"/>
  <c r="J11" i="17"/>
  <c r="O11" i="17" s="1"/>
  <c r="K11" i="17"/>
  <c r="L11" i="17"/>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I27" i="17"/>
  <c r="N27" i="17" s="1"/>
  <c r="J27" i="17"/>
  <c r="O27" i="17" s="1"/>
  <c r="K27" i="17"/>
  <c r="L27" i="17"/>
  <c r="I28" i="17"/>
  <c r="N28" i="17" s="1"/>
  <c r="J28" i="17"/>
  <c r="O28" i="17" s="1"/>
  <c r="K28" i="17"/>
  <c r="L28" i="17"/>
  <c r="M28" i="17" s="1"/>
  <c r="I29" i="17"/>
  <c r="N29" i="17" s="1"/>
  <c r="J29" i="17"/>
  <c r="O29" i="17" s="1"/>
  <c r="K29" i="17"/>
  <c r="L29" i="17"/>
  <c r="M29" i="17" s="1"/>
  <c r="I30" i="17"/>
  <c r="N30" i="17" s="1"/>
  <c r="J30" i="17"/>
  <c r="K30" i="17"/>
  <c r="L30" i="17"/>
  <c r="M30" i="17" s="1"/>
  <c r="I31" i="17"/>
  <c r="N31" i="17" s="1"/>
  <c r="J31" i="17"/>
  <c r="O31" i="17" s="1"/>
  <c r="K31" i="17"/>
  <c r="L31" i="17"/>
  <c r="M31" i="17" s="1"/>
  <c r="I32" i="17"/>
  <c r="J32" i="17"/>
  <c r="O32" i="17" s="1"/>
  <c r="K32" i="17"/>
  <c r="L32" i="17"/>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I39" i="17"/>
  <c r="N39" i="17" s="1"/>
  <c r="J39" i="17"/>
  <c r="O39" i="17" s="1"/>
  <c r="K39" i="17"/>
  <c r="L39" i="17"/>
  <c r="I40" i="17"/>
  <c r="N40" i="17" s="1"/>
  <c r="J40" i="17"/>
  <c r="O40" i="17" s="1"/>
  <c r="K40" i="17"/>
  <c r="L40" i="17"/>
  <c r="I41" i="17"/>
  <c r="N41" i="17" s="1"/>
  <c r="J41" i="17"/>
  <c r="O41" i="17" s="1"/>
  <c r="K41" i="17"/>
  <c r="L41" i="17"/>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N49" i="17" s="1"/>
  <c r="J49" i="17"/>
  <c r="O49" i="17" s="1"/>
  <c r="K49" i="17"/>
  <c r="L49" i="17"/>
  <c r="M49" i="17" s="1"/>
  <c r="I50" i="17"/>
  <c r="N50" i="17" s="1"/>
  <c r="J50" i="17"/>
  <c r="O50" i="17" s="1"/>
  <c r="K50" i="17"/>
  <c r="L50" i="17"/>
  <c r="I51" i="17"/>
  <c r="N51" i="17" s="1"/>
  <c r="J51" i="17"/>
  <c r="O51" i="17" s="1"/>
  <c r="K51" i="17"/>
  <c r="L51" i="17"/>
  <c r="I52" i="17"/>
  <c r="N52" i="17" s="1"/>
  <c r="J52" i="17"/>
  <c r="O52" i="17" s="1"/>
  <c r="K52" i="17"/>
  <c r="L52" i="17"/>
  <c r="M52" i="17" s="1"/>
  <c r="I53" i="17"/>
  <c r="N53" i="17" s="1"/>
  <c r="J53" i="17"/>
  <c r="O53" i="17" s="1"/>
  <c r="K53" i="17"/>
  <c r="L53" i="17"/>
  <c r="M53" i="17" s="1"/>
  <c r="I54" i="17"/>
  <c r="N54" i="17" s="1"/>
  <c r="J54" i="17"/>
  <c r="O54" i="17" s="1"/>
  <c r="K54" i="17"/>
  <c r="L54" i="17"/>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I63" i="17"/>
  <c r="N63" i="17" s="1"/>
  <c r="J63" i="17"/>
  <c r="O63" i="17" s="1"/>
  <c r="K63" i="17"/>
  <c r="L63" i="17"/>
  <c r="M63" i="17" s="1"/>
  <c r="I64" i="17"/>
  <c r="J64" i="17"/>
  <c r="O64" i="17" s="1"/>
  <c r="K64" i="17"/>
  <c r="L64" i="17"/>
  <c r="I65" i="17"/>
  <c r="N65" i="17" s="1"/>
  <c r="J65" i="17"/>
  <c r="O65" i="17" s="1"/>
  <c r="K65" i="17"/>
  <c r="L65" i="17"/>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I71" i="17"/>
  <c r="N71" i="17" s="1"/>
  <c r="J71" i="17"/>
  <c r="O71" i="17" s="1"/>
  <c r="K71" i="17"/>
  <c r="L71" i="17"/>
  <c r="I72" i="17"/>
  <c r="N72" i="17" s="1"/>
  <c r="J72" i="17"/>
  <c r="O72" i="17" s="1"/>
  <c r="K72" i="17"/>
  <c r="L72" i="17"/>
  <c r="M72" i="17" s="1"/>
  <c r="I73" i="17"/>
  <c r="N73" i="17" s="1"/>
  <c r="J73" i="17"/>
  <c r="O73" i="17" s="1"/>
  <c r="K73" i="17"/>
  <c r="L73" i="17"/>
  <c r="M73" i="17" s="1"/>
  <c r="I74" i="17"/>
  <c r="N74" i="17" s="1"/>
  <c r="J74" i="17"/>
  <c r="O74" i="17" s="1"/>
  <c r="K74" i="17"/>
  <c r="L74" i="17"/>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I81" i="17"/>
  <c r="N81" i="17" s="1"/>
  <c r="J81" i="17"/>
  <c r="O81" i="17" s="1"/>
  <c r="K81" i="17"/>
  <c r="L81" i="17"/>
  <c r="M81" i="17" s="1"/>
  <c r="I82" i="17"/>
  <c r="N82" i="17" s="1"/>
  <c r="J82" i="17"/>
  <c r="O82" i="17" s="1"/>
  <c r="K82" i="17"/>
  <c r="L82" i="17"/>
  <c r="I83" i="17"/>
  <c r="N83" i="17" s="1"/>
  <c r="J83" i="17"/>
  <c r="O83" i="17" s="1"/>
  <c r="K83" i="17"/>
  <c r="L83" i="17"/>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I95" i="17"/>
  <c r="N95" i="17" s="1"/>
  <c r="J95" i="17"/>
  <c r="O95" i="17" s="1"/>
  <c r="K95" i="17"/>
  <c r="L95" i="17"/>
  <c r="I96" i="17"/>
  <c r="N96" i="17" s="1"/>
  <c r="J96" i="17"/>
  <c r="O96" i="17" s="1"/>
  <c r="K96" i="17"/>
  <c r="L96" i="17"/>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I105" i="17"/>
  <c r="N105" i="17" s="1"/>
  <c r="J105" i="17"/>
  <c r="O105" i="17" s="1"/>
  <c r="K105" i="17"/>
  <c r="L105" i="17"/>
  <c r="M105" i="17" s="1"/>
  <c r="I106" i="17"/>
  <c r="N106" i="17" s="1"/>
  <c r="J106" i="17"/>
  <c r="O106" i="17" s="1"/>
  <c r="K106" i="17"/>
  <c r="L106" i="17"/>
  <c r="I107" i="17"/>
  <c r="N107" i="17" s="1"/>
  <c r="J107" i="17"/>
  <c r="O107" i="17" s="1"/>
  <c r="K107" i="17"/>
  <c r="L107" i="17"/>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J112" i="17"/>
  <c r="O112" i="17" s="1"/>
  <c r="K112" i="17"/>
  <c r="L112" i="17"/>
  <c r="I113" i="17"/>
  <c r="N113" i="17" s="1"/>
  <c r="J113" i="17"/>
  <c r="O113" i="17" s="1"/>
  <c r="K113" i="17"/>
  <c r="L113" i="17"/>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I127" i="17"/>
  <c r="N127" i="17" s="1"/>
  <c r="J127" i="17"/>
  <c r="O127" i="17" s="1"/>
  <c r="K127" i="17"/>
  <c r="L127" i="17"/>
  <c r="I128" i="17"/>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I135" i="17"/>
  <c r="N135" i="17" s="1"/>
  <c r="J135" i="17"/>
  <c r="O135" i="17" s="1"/>
  <c r="K135" i="17"/>
  <c r="L135" i="17"/>
  <c r="M135" i="17" s="1"/>
  <c r="I136" i="17"/>
  <c r="N136" i="17" s="1"/>
  <c r="J136" i="17"/>
  <c r="O136" i="17" s="1"/>
  <c r="K136" i="17"/>
  <c r="L136" i="17"/>
  <c r="I137" i="17"/>
  <c r="N137" i="17" s="1"/>
  <c r="J137" i="17"/>
  <c r="O137" i="17" s="1"/>
  <c r="K137" i="17"/>
  <c r="L137" i="17"/>
  <c r="I138" i="17"/>
  <c r="N138" i="17" s="1"/>
  <c r="J138" i="17"/>
  <c r="O138" i="17" s="1"/>
  <c r="K138" i="17"/>
  <c r="L138" i="17"/>
  <c r="I139" i="17"/>
  <c r="N139" i="17" s="1"/>
  <c r="J139" i="17"/>
  <c r="O139" i="17" s="1"/>
  <c r="K139" i="17"/>
  <c r="L139" i="17"/>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I151" i="17"/>
  <c r="N151" i="17" s="1"/>
  <c r="J151" i="17"/>
  <c r="O151" i="17" s="1"/>
  <c r="K151" i="17"/>
  <c r="L151" i="17"/>
  <c r="I152" i="17"/>
  <c r="N152" i="17" s="1"/>
  <c r="J152" i="17"/>
  <c r="O152" i="17" s="1"/>
  <c r="K152" i="17"/>
  <c r="L152" i="17"/>
  <c r="M152" i="17" s="1"/>
  <c r="I153" i="17"/>
  <c r="N153" i="17" s="1"/>
  <c r="J153" i="17"/>
  <c r="O153" i="17" s="1"/>
  <c r="K153" i="17"/>
  <c r="L153" i="17"/>
  <c r="M153" i="17" s="1"/>
  <c r="I154" i="17"/>
  <c r="N154" i="17" s="1"/>
  <c r="J154" i="17"/>
  <c r="O154" i="17" s="1"/>
  <c r="K154" i="17"/>
  <c r="L154" i="17"/>
  <c r="I155" i="17"/>
  <c r="N155" i="17" s="1"/>
  <c r="J155" i="17"/>
  <c r="O155" i="17" s="1"/>
  <c r="K155" i="17"/>
  <c r="L155" i="17"/>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I167" i="17"/>
  <c r="N167" i="17" s="1"/>
  <c r="J167" i="17"/>
  <c r="O167" i="17" s="1"/>
  <c r="K167" i="17"/>
  <c r="L167" i="17"/>
  <c r="I168" i="17"/>
  <c r="N168" i="17" s="1"/>
  <c r="J168" i="17"/>
  <c r="O168" i="17" s="1"/>
  <c r="K168" i="17"/>
  <c r="L168" i="17"/>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I177" i="17"/>
  <c r="N177" i="17" s="1"/>
  <c r="J177" i="17"/>
  <c r="O177" i="17" s="1"/>
  <c r="K177" i="17"/>
  <c r="L177" i="17"/>
  <c r="M177" i="17" s="1"/>
  <c r="I178" i="17"/>
  <c r="N178" i="17" s="1"/>
  <c r="J178" i="17"/>
  <c r="O178" i="17" s="1"/>
  <c r="K178" i="17"/>
  <c r="L178" i="17"/>
  <c r="I179" i="17"/>
  <c r="N179" i="17" s="1"/>
  <c r="J179" i="17"/>
  <c r="O179" i="17" s="1"/>
  <c r="K179" i="17"/>
  <c r="L179" i="17"/>
  <c r="I180" i="17"/>
  <c r="N180" i="17" s="1"/>
  <c r="J180" i="17"/>
  <c r="O180" i="17" s="1"/>
  <c r="K180" i="17"/>
  <c r="L180" i="17"/>
  <c r="M180" i="17" s="1"/>
  <c r="I181" i="17"/>
  <c r="N181" i="17" s="1"/>
  <c r="J181" i="17"/>
  <c r="O181" i="17" s="1"/>
  <c r="K181" i="17"/>
  <c r="L181" i="17"/>
  <c r="M181" i="17" s="1"/>
  <c r="I182" i="17"/>
  <c r="N182" i="17" s="1"/>
  <c r="J182" i="17"/>
  <c r="O182" i="17" s="1"/>
  <c r="K182" i="17"/>
  <c r="L182" i="17"/>
  <c r="I183" i="17"/>
  <c r="N183" i="17" s="1"/>
  <c r="J183" i="17"/>
  <c r="O183" i="17" s="1"/>
  <c r="K183" i="17"/>
  <c r="L183" i="17"/>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I191" i="17"/>
  <c r="N191" i="17" s="1"/>
  <c r="J191" i="17"/>
  <c r="O191" i="17" s="1"/>
  <c r="K191" i="17"/>
  <c r="L191" i="17"/>
  <c r="M191" i="17" s="1"/>
  <c r="I192" i="17"/>
  <c r="N192" i="17" s="1"/>
  <c r="J192" i="17"/>
  <c r="O192" i="17" s="1"/>
  <c r="K192" i="17"/>
  <c r="L192" i="17"/>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I199" i="17"/>
  <c r="N199" i="17" s="1"/>
  <c r="J199" i="17"/>
  <c r="O199" i="17" s="1"/>
  <c r="K199" i="17"/>
  <c r="L199" i="17"/>
  <c r="I200" i="17"/>
  <c r="N200" i="17" s="1"/>
  <c r="J200" i="17"/>
  <c r="O200" i="17" s="1"/>
  <c r="K200" i="17"/>
  <c r="L200" i="17"/>
  <c r="M200" i="17" s="1"/>
  <c r="I201" i="17"/>
  <c r="N201" i="17" s="1"/>
  <c r="J201" i="17"/>
  <c r="O201" i="17" s="1"/>
  <c r="K201" i="17"/>
  <c r="L201" i="17"/>
  <c r="M201" i="17" s="1"/>
  <c r="I202" i="17"/>
  <c r="N202" i="17" s="1"/>
  <c r="J202" i="17"/>
  <c r="O202" i="17" s="1"/>
  <c r="K202" i="17"/>
  <c r="L202" i="17"/>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N209" i="17" s="1"/>
  <c r="J209" i="17"/>
  <c r="O209" i="17" s="1"/>
  <c r="K209" i="17"/>
  <c r="L209" i="17"/>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J216" i="17"/>
  <c r="O216" i="17" s="1"/>
  <c r="K216" i="17"/>
  <c r="L216" i="17"/>
  <c r="M216" i="17" s="1"/>
  <c r="I217" i="17"/>
  <c r="N217" i="17" s="1"/>
  <c r="J217" i="17"/>
  <c r="O217" i="17" s="1"/>
  <c r="K217" i="17"/>
  <c r="L217" i="17"/>
  <c r="M217" i="17" s="1"/>
  <c r="I218" i="17"/>
  <c r="N218" i="17" s="1"/>
  <c r="J218" i="17"/>
  <c r="O218" i="17" s="1"/>
  <c r="K218" i="17"/>
  <c r="L218" i="17"/>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I223" i="17"/>
  <c r="N223" i="17" s="1"/>
  <c r="J223" i="17"/>
  <c r="O223" i="17" s="1"/>
  <c r="K223" i="17"/>
  <c r="L223" i="17"/>
  <c r="I224" i="17"/>
  <c r="N224" i="17" s="1"/>
  <c r="J224" i="17"/>
  <c r="O224" i="17" s="1"/>
  <c r="K224" i="17"/>
  <c r="L224" i="17"/>
  <c r="I225" i="17"/>
  <c r="N225" i="17" s="1"/>
  <c r="J225" i="17"/>
  <c r="O225" i="17" s="1"/>
  <c r="K225" i="17"/>
  <c r="L225" i="17"/>
  <c r="I226" i="17"/>
  <c r="N226" i="17" s="1"/>
  <c r="J226" i="17"/>
  <c r="O226" i="17" s="1"/>
  <c r="K226" i="17"/>
  <c r="L226" i="17"/>
  <c r="M226" i="17" s="1"/>
  <c r="I227" i="17"/>
  <c r="N227" i="17" s="1"/>
  <c r="J227" i="17"/>
  <c r="O227" i="17" s="1"/>
  <c r="K227" i="17"/>
  <c r="L227" i="17"/>
  <c r="M227" i="17" s="1"/>
  <c r="I228" i="17"/>
  <c r="N228" i="17" s="1"/>
  <c r="J228" i="17"/>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I233" i="17"/>
  <c r="N233" i="17" s="1"/>
  <c r="J233" i="17"/>
  <c r="O233" i="17" s="1"/>
  <c r="K233" i="17"/>
  <c r="L233" i="17"/>
  <c r="M233" i="17" s="1"/>
  <c r="I234" i="17"/>
  <c r="N234" i="17" s="1"/>
  <c r="J234" i="17"/>
  <c r="O234" i="17" s="1"/>
  <c r="K234" i="17"/>
  <c r="L234" i="17"/>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J240" i="17"/>
  <c r="O240" i="17" s="1"/>
  <c r="K240" i="17"/>
  <c r="L240" i="17"/>
  <c r="I241" i="17"/>
  <c r="N241" i="17" s="1"/>
  <c r="J241" i="17"/>
  <c r="O241" i="17" s="1"/>
  <c r="K241" i="17"/>
  <c r="L241" i="17"/>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I251" i="17"/>
  <c r="N251" i="17" s="1"/>
  <c r="J251" i="17"/>
  <c r="O251" i="17" s="1"/>
  <c r="K251" i="17"/>
  <c r="L251" i="17"/>
  <c r="I252" i="17"/>
  <c r="N252" i="17" s="1"/>
  <c r="J252" i="17"/>
  <c r="O252" i="17" s="1"/>
  <c r="K252" i="17"/>
  <c r="L252" i="17"/>
  <c r="M252" i="17" s="1"/>
  <c r="I253" i="17"/>
  <c r="N253" i="17" s="1"/>
  <c r="J253" i="17"/>
  <c r="O253" i="17" s="1"/>
  <c r="K253" i="17"/>
  <c r="L253" i="17"/>
  <c r="M253" i="17" s="1"/>
  <c r="I254" i="17"/>
  <c r="N254" i="17" s="1"/>
  <c r="J254" i="17"/>
  <c r="O254" i="17" s="1"/>
  <c r="K254" i="17"/>
  <c r="L254" i="17"/>
  <c r="I255" i="17"/>
  <c r="N255" i="17" s="1"/>
  <c r="J255" i="17"/>
  <c r="O255" i="17" s="1"/>
  <c r="K255" i="17"/>
  <c r="L255" i="17"/>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I263" i="17"/>
  <c r="N263" i="17" s="1"/>
  <c r="J263" i="17"/>
  <c r="O263" i="17" s="1"/>
  <c r="K263" i="17"/>
  <c r="L263" i="17"/>
  <c r="M263" i="17" s="1"/>
  <c r="I264" i="17"/>
  <c r="N264" i="17" s="1"/>
  <c r="J264" i="17"/>
  <c r="O264" i="17" s="1"/>
  <c r="K264" i="17"/>
  <c r="L264" i="17"/>
  <c r="I265" i="17"/>
  <c r="N265" i="17" s="1"/>
  <c r="J265" i="17"/>
  <c r="O265" i="17" s="1"/>
  <c r="K265" i="17"/>
  <c r="L265" i="17"/>
  <c r="I266" i="17"/>
  <c r="N266" i="17" s="1"/>
  <c r="J266" i="17"/>
  <c r="O266" i="17" s="1"/>
  <c r="K266" i="17"/>
  <c r="L266" i="17"/>
  <c r="I267" i="17"/>
  <c r="N267" i="17" s="1"/>
  <c r="J267" i="17"/>
  <c r="O267" i="17" s="1"/>
  <c r="K267" i="17"/>
  <c r="L267" i="17"/>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J278" i="17"/>
  <c r="O278" i="17" s="1"/>
  <c r="K278" i="17"/>
  <c r="L278" i="17"/>
  <c r="I279" i="17"/>
  <c r="N279" i="17" s="1"/>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K282" i="17"/>
  <c r="L282" i="17"/>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J294" i="17"/>
  <c r="O294" i="17" s="1"/>
  <c r="K294" i="17"/>
  <c r="L294" i="17"/>
  <c r="I295" i="17"/>
  <c r="N295" i="17" s="1"/>
  <c r="J295" i="17"/>
  <c r="O295" i="17" s="1"/>
  <c r="K295" i="17"/>
  <c r="L295" i="17"/>
  <c r="I296" i="17"/>
  <c r="N296" i="17" s="1"/>
  <c r="J296" i="17"/>
  <c r="O296" i="17" s="1"/>
  <c r="K296" i="17"/>
  <c r="L296" i="17"/>
  <c r="I297" i="17"/>
  <c r="N297" i="17" s="1"/>
  <c r="J297" i="17"/>
  <c r="O297" i="17" s="1"/>
  <c r="K297" i="17"/>
  <c r="L297" i="17"/>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I305" i="17"/>
  <c r="N305" i="17" s="1"/>
  <c r="J305" i="17"/>
  <c r="O305" i="17" s="1"/>
  <c r="K305" i="17"/>
  <c r="L305" i="17"/>
  <c r="M305" i="17" s="1"/>
  <c r="I306" i="17"/>
  <c r="N306" i="17" s="1"/>
  <c r="J306" i="17"/>
  <c r="O306" i="17" s="1"/>
  <c r="K306" i="17"/>
  <c r="L306" i="17"/>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K310" i="17"/>
  <c r="L310" i="17"/>
  <c r="I311" i="17"/>
  <c r="N311" i="17" s="1"/>
  <c r="J311" i="17"/>
  <c r="O311" i="17" s="1"/>
  <c r="K311" i="17"/>
  <c r="L311" i="17"/>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I319" i="17"/>
  <c r="N319" i="17" s="1"/>
  <c r="J319" i="17"/>
  <c r="O319" i="17" s="1"/>
  <c r="K319" i="17"/>
  <c r="L319" i="17"/>
  <c r="M319" i="17" s="1"/>
  <c r="I320" i="17"/>
  <c r="N320" i="17" s="1"/>
  <c r="J320" i="17"/>
  <c r="O320" i="17" s="1"/>
  <c r="K320" i="17"/>
  <c r="L320" i="17"/>
  <c r="I321" i="17"/>
  <c r="N321" i="17" s="1"/>
  <c r="J321" i="17"/>
  <c r="O321" i="17" s="1"/>
  <c r="K321" i="17"/>
  <c r="L321" i="17"/>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I327" i="17"/>
  <c r="N327" i="17" s="1"/>
  <c r="J327" i="17"/>
  <c r="O327" i="17" s="1"/>
  <c r="K327" i="17"/>
  <c r="L327" i="17"/>
  <c r="M327" i="17" s="1"/>
  <c r="I328" i="17"/>
  <c r="J328" i="17"/>
  <c r="O328" i="17" s="1"/>
  <c r="K328" i="17"/>
  <c r="L328" i="17"/>
  <c r="M328" i="17" s="1"/>
  <c r="I329" i="17"/>
  <c r="N329" i="17" s="1"/>
  <c r="J329" i="17"/>
  <c r="O329" i="17" s="1"/>
  <c r="K329" i="17"/>
  <c r="L329" i="17"/>
  <c r="M329" i="17" s="1"/>
  <c r="I330" i="17"/>
  <c r="N330" i="17" s="1"/>
  <c r="J330" i="17"/>
  <c r="O330" i="17" s="1"/>
  <c r="K330" i="17"/>
  <c r="L330" i="17"/>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I337" i="17"/>
  <c r="N337" i="17" s="1"/>
  <c r="J337" i="17"/>
  <c r="O337" i="17" s="1"/>
  <c r="K337" i="17"/>
  <c r="L337" i="17"/>
  <c r="M337" i="17" s="1"/>
  <c r="I338" i="17"/>
  <c r="N338" i="17" s="1"/>
  <c r="J338" i="17"/>
  <c r="O338" i="17" s="1"/>
  <c r="K338" i="17"/>
  <c r="L338" i="17"/>
  <c r="I339" i="17"/>
  <c r="N339" i="17" s="1"/>
  <c r="J339" i="17"/>
  <c r="O339" i="17" s="1"/>
  <c r="K339" i="17"/>
  <c r="L339" i="17"/>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J344" i="17"/>
  <c r="O344" i="17" s="1"/>
  <c r="K344" i="17"/>
  <c r="L344" i="17"/>
  <c r="M344" i="17" s="1"/>
  <c r="I345" i="17"/>
  <c r="N345" i="17" s="1"/>
  <c r="J345" i="17"/>
  <c r="O345" i="17" s="1"/>
  <c r="K345" i="17"/>
  <c r="L345" i="17"/>
  <c r="M345" i="17" s="1"/>
  <c r="I346" i="17"/>
  <c r="N346" i="17" s="1"/>
  <c r="J346" i="17"/>
  <c r="O346" i="17" s="1"/>
  <c r="K346" i="17"/>
  <c r="L346" i="17"/>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I351" i="17"/>
  <c r="N351" i="17" s="1"/>
  <c r="J351" i="17"/>
  <c r="O351" i="17" s="1"/>
  <c r="K351" i="17"/>
  <c r="L351" i="17"/>
  <c r="M351" i="17" s="1"/>
  <c r="I352" i="17"/>
  <c r="N352" i="17" s="1"/>
  <c r="J352" i="17"/>
  <c r="O352" i="17" s="1"/>
  <c r="K352" i="17"/>
  <c r="L352" i="17"/>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I361" i="17"/>
  <c r="N361" i="17" s="1"/>
  <c r="J361" i="17"/>
  <c r="O361" i="17" s="1"/>
  <c r="K361" i="17"/>
  <c r="L361" i="17"/>
  <c r="M361" i="17" s="1"/>
  <c r="I362" i="17"/>
  <c r="N362" i="17" s="1"/>
  <c r="J362" i="17"/>
  <c r="O362" i="17" s="1"/>
  <c r="K362" i="17"/>
  <c r="L362" i="17"/>
  <c r="I363" i="17"/>
  <c r="N363" i="17" s="1"/>
  <c r="J363" i="17"/>
  <c r="O363" i="17" s="1"/>
  <c r="K363" i="17"/>
  <c r="L363" i="17"/>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I369" i="17"/>
  <c r="N369" i="17" s="1"/>
  <c r="J369" i="17"/>
  <c r="O369" i="17" s="1"/>
  <c r="K369" i="17"/>
  <c r="L369" i="17"/>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J382" i="17"/>
  <c r="O382" i="17" s="1"/>
  <c r="K382" i="17"/>
  <c r="L382" i="17"/>
  <c r="I383" i="17"/>
  <c r="N383" i="17" s="1"/>
  <c r="J383" i="17"/>
  <c r="O383" i="17" s="1"/>
  <c r="K383" i="17"/>
  <c r="L383" i="17"/>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I391" i="17"/>
  <c r="N391" i="17" s="1"/>
  <c r="J391" i="17"/>
  <c r="O391" i="17" s="1"/>
  <c r="K391" i="17"/>
  <c r="L391" i="17"/>
  <c r="M391" i="17" s="1"/>
  <c r="I392" i="17"/>
  <c r="N392" i="17" s="1"/>
  <c r="J392" i="17"/>
  <c r="O392" i="17" s="1"/>
  <c r="K392" i="17"/>
  <c r="L392" i="17"/>
  <c r="I393" i="17"/>
  <c r="N393" i="17" s="1"/>
  <c r="J393" i="17"/>
  <c r="O393" i="17" s="1"/>
  <c r="K393" i="17"/>
  <c r="L393" i="17"/>
  <c r="I394" i="17"/>
  <c r="N394" i="17" s="1"/>
  <c r="J394" i="17"/>
  <c r="O394" i="17" s="1"/>
  <c r="K394" i="17"/>
  <c r="L394" i="17"/>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J406" i="17"/>
  <c r="O406" i="17" s="1"/>
  <c r="K406" i="17"/>
  <c r="L406" i="17"/>
  <c r="I407" i="17"/>
  <c r="N407" i="17" s="1"/>
  <c r="J407" i="17"/>
  <c r="O407" i="17" s="1"/>
  <c r="K407" i="17"/>
  <c r="L407" i="17"/>
  <c r="I408" i="17"/>
  <c r="N408" i="17" s="1"/>
  <c r="J408" i="17"/>
  <c r="O408" i="17" s="1"/>
  <c r="K408" i="17"/>
  <c r="L408" i="17"/>
  <c r="M408" i="17" s="1"/>
  <c r="I409" i="17"/>
  <c r="N409" i="17" s="1"/>
  <c r="J409" i="17"/>
  <c r="O409" i="17" s="1"/>
  <c r="K409" i="17"/>
  <c r="L409" i="17"/>
  <c r="M409" i="17" s="1"/>
  <c r="I410" i="17"/>
  <c r="N410" i="17" s="1"/>
  <c r="J410" i="17"/>
  <c r="O410" i="17" s="1"/>
  <c r="K410" i="17"/>
  <c r="L410" i="17"/>
  <c r="I411" i="17"/>
  <c r="N411" i="17" s="1"/>
  <c r="J411" i="17"/>
  <c r="O411" i="17" s="1"/>
  <c r="K411" i="17"/>
  <c r="L411" i="17"/>
  <c r="I412" i="17"/>
  <c r="N412" i="17" s="1"/>
  <c r="J412" i="17"/>
  <c r="O412" i="17" s="1"/>
  <c r="K412" i="17"/>
  <c r="L412" i="17"/>
  <c r="M412" i="17" s="1"/>
  <c r="I413" i="17"/>
  <c r="N413" i="17" s="1"/>
  <c r="J413" i="17"/>
  <c r="O413" i="17" s="1"/>
  <c r="K413" i="17"/>
  <c r="L413" i="17"/>
  <c r="M413" i="17" s="1"/>
  <c r="I414" i="17"/>
  <c r="N414" i="17" s="1"/>
  <c r="J414" i="17"/>
  <c r="K414" i="17"/>
  <c r="L414" i="17"/>
  <c r="M414" i="17" s="1"/>
  <c r="I415" i="17"/>
  <c r="N415" i="17" s="1"/>
  <c r="J415" i="17"/>
  <c r="O415" i="17" s="1"/>
  <c r="K415" i="17"/>
  <c r="L415" i="17"/>
  <c r="M415" i="17" s="1"/>
  <c r="I416" i="17"/>
  <c r="N416" i="17" s="1"/>
  <c r="J416" i="17"/>
  <c r="O416" i="17" s="1"/>
  <c r="K416" i="17"/>
  <c r="L416" i="17"/>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I423" i="17"/>
  <c r="N423" i="17" s="1"/>
  <c r="J423" i="17"/>
  <c r="O423" i="17" s="1"/>
  <c r="K423" i="17"/>
  <c r="L423" i="17"/>
  <c r="M423" i="17" s="1"/>
  <c r="I424" i="17"/>
  <c r="N424" i="17" s="1"/>
  <c r="J424" i="17"/>
  <c r="O424" i="17" s="1"/>
  <c r="K424" i="17"/>
  <c r="L424" i="17"/>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I435" i="17"/>
  <c r="N435" i="17" s="1"/>
  <c r="J435" i="17"/>
  <c r="O435" i="17" s="1"/>
  <c r="K435" i="17"/>
  <c r="L435" i="17"/>
  <c r="I436" i="17"/>
  <c r="N436" i="17" s="1"/>
  <c r="J436" i="17"/>
  <c r="O436" i="17" s="1"/>
  <c r="K436" i="17"/>
  <c r="L436" i="17"/>
  <c r="M436" i="17" s="1"/>
  <c r="I437" i="17"/>
  <c r="N437" i="17" s="1"/>
  <c r="J437" i="17"/>
  <c r="O437" i="17" s="1"/>
  <c r="K437" i="17"/>
  <c r="L437" i="17"/>
  <c r="M437" i="17" s="1"/>
  <c r="I438" i="17"/>
  <c r="N438" i="17" s="1"/>
  <c r="J438" i="17"/>
  <c r="O438" i="17" s="1"/>
  <c r="K438" i="17"/>
  <c r="L438" i="17"/>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I447" i="17"/>
  <c r="N447" i="17" s="1"/>
  <c r="J447" i="17"/>
  <c r="O447" i="17" s="1"/>
  <c r="K447" i="17"/>
  <c r="L447" i="17"/>
  <c r="M447" i="17" s="1"/>
  <c r="I448" i="17"/>
  <c r="N448" i="17" s="1"/>
  <c r="J448" i="17"/>
  <c r="O448" i="17" s="1"/>
  <c r="K448" i="17"/>
  <c r="L448" i="17"/>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I455" i="17"/>
  <c r="N455" i="17" s="1"/>
  <c r="J455" i="17"/>
  <c r="O455" i="17" s="1"/>
  <c r="K455" i="17"/>
  <c r="L455" i="17"/>
  <c r="I456" i="17"/>
  <c r="N456" i="17" s="1"/>
  <c r="J456" i="17"/>
  <c r="O456" i="17" s="1"/>
  <c r="K456" i="17"/>
  <c r="L456" i="17"/>
  <c r="M456" i="17" s="1"/>
  <c r="I457" i="17"/>
  <c r="N457" i="17" s="1"/>
  <c r="J457" i="17"/>
  <c r="O457" i="17" s="1"/>
  <c r="K457" i="17"/>
  <c r="L457" i="17"/>
  <c r="M457" i="17" s="1"/>
  <c r="I458" i="17"/>
  <c r="N458" i="17" s="1"/>
  <c r="J458" i="17"/>
  <c r="O458" i="17" s="1"/>
  <c r="K458" i="17"/>
  <c r="L458" i="17"/>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I465" i="17"/>
  <c r="N465" i="17" s="1"/>
  <c r="J465" i="17"/>
  <c r="O465" i="17" s="1"/>
  <c r="K465" i="17"/>
  <c r="L465" i="17"/>
  <c r="M465" i="17" s="1"/>
  <c r="I466" i="17"/>
  <c r="N466" i="17" s="1"/>
  <c r="J466" i="17"/>
  <c r="O466" i="17" s="1"/>
  <c r="K466" i="17"/>
  <c r="L466" i="17"/>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I479" i="17"/>
  <c r="N479" i="17" s="1"/>
  <c r="J479" i="17"/>
  <c r="O479" i="17" s="1"/>
  <c r="K479" i="17"/>
  <c r="L479" i="17"/>
  <c r="I480" i="17"/>
  <c r="N480" i="17" s="1"/>
  <c r="J480" i="17"/>
  <c r="O480" i="17" s="1"/>
  <c r="K480" i="17"/>
  <c r="L480" i="17"/>
  <c r="I481" i="17"/>
  <c r="N481" i="17" s="1"/>
  <c r="J481" i="17"/>
  <c r="O481" i="17" s="1"/>
  <c r="K481" i="17"/>
  <c r="L481" i="17"/>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I489" i="17"/>
  <c r="N489" i="17" s="1"/>
  <c r="J489" i="17"/>
  <c r="O489" i="17" s="1"/>
  <c r="K489" i="17"/>
  <c r="L489" i="17"/>
  <c r="M489" i="17" s="1"/>
  <c r="I490" i="17"/>
  <c r="N490" i="17" s="1"/>
  <c r="J490" i="17"/>
  <c r="O490" i="17" s="1"/>
  <c r="K490" i="17"/>
  <c r="L490" i="17"/>
  <c r="I491" i="17"/>
  <c r="N491" i="17" s="1"/>
  <c r="J491" i="17"/>
  <c r="O491" i="17" s="1"/>
  <c r="K491" i="17"/>
  <c r="L491" i="17"/>
  <c r="M491" i="17" s="1"/>
  <c r="I492" i="17"/>
  <c r="N492" i="17" s="1"/>
  <c r="J492" i="17"/>
  <c r="K492" i="17"/>
  <c r="L492" i="17"/>
  <c r="M492" i="17" s="1"/>
  <c r="I493" i="17"/>
  <c r="N493" i="17" s="1"/>
  <c r="J493" i="17"/>
  <c r="O493" i="17" s="1"/>
  <c r="K493" i="17"/>
  <c r="L493" i="17"/>
  <c r="M493" i="17" s="1"/>
  <c r="I494" i="17"/>
  <c r="J494" i="17"/>
  <c r="O494" i="17" s="1"/>
  <c r="K494" i="17"/>
  <c r="L494" i="17"/>
  <c r="M494" i="17" s="1"/>
  <c r="I495" i="17"/>
  <c r="N495" i="17" s="1"/>
  <c r="J495" i="17"/>
  <c r="O495" i="17" s="1"/>
  <c r="K495" i="17"/>
  <c r="L495" i="17"/>
  <c r="M495" i="17" s="1"/>
  <c r="I496" i="17"/>
  <c r="N496" i="17" s="1"/>
  <c r="J496" i="17"/>
  <c r="O496" i="17" s="1"/>
  <c r="K496" i="17"/>
  <c r="L496" i="17"/>
  <c r="I497" i="17"/>
  <c r="N497" i="17" s="1"/>
  <c r="J497" i="17"/>
  <c r="O497" i="17" s="1"/>
  <c r="K497" i="17"/>
  <c r="L497" i="17"/>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I503" i="17"/>
  <c r="N503" i="17" s="1"/>
  <c r="J503" i="17"/>
  <c r="O503" i="17" s="1"/>
  <c r="K503" i="17"/>
  <c r="L503" i="17"/>
  <c r="I504" i="17"/>
  <c r="N504" i="17" s="1"/>
  <c r="J504" i="17"/>
  <c r="O504" i="17" s="1"/>
  <c r="K504" i="17"/>
  <c r="L504" i="17"/>
  <c r="M504" i="17" s="1"/>
  <c r="I505" i="17"/>
  <c r="N505" i="17" s="1"/>
  <c r="J505" i="17"/>
  <c r="O505" i="17" s="1"/>
  <c r="K505" i="17"/>
  <c r="L505" i="17"/>
  <c r="M505" i="17" s="1"/>
  <c r="I506" i="17"/>
  <c r="N506" i="17" s="1"/>
  <c r="J506" i="17"/>
  <c r="O506" i="17" s="1"/>
  <c r="K506" i="17"/>
  <c r="L506" i="17"/>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J510" i="17"/>
  <c r="O510" i="17" s="1"/>
  <c r="K510" i="17"/>
  <c r="L510" i="17"/>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I519" i="17"/>
  <c r="N519" i="17" s="1"/>
  <c r="J519" i="17"/>
  <c r="O519" i="17" s="1"/>
  <c r="K519" i="17"/>
  <c r="L519" i="17"/>
  <c r="I520" i="17"/>
  <c r="N520" i="17" s="1"/>
  <c r="J520" i="17"/>
  <c r="O520" i="17" s="1"/>
  <c r="K520" i="17"/>
  <c r="L520" i="17"/>
  <c r="I521" i="17"/>
  <c r="N521" i="17" s="1"/>
  <c r="J521" i="17"/>
  <c r="O521" i="17" s="1"/>
  <c r="K521" i="17"/>
  <c r="L521" i="17"/>
  <c r="I522" i="17"/>
  <c r="N522" i="17" s="1"/>
  <c r="J522" i="17"/>
  <c r="O522" i="17" s="1"/>
  <c r="K522" i="17"/>
  <c r="L522" i="17"/>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I531" i="17"/>
  <c r="N531" i="17" s="1"/>
  <c r="J531" i="17"/>
  <c r="O531" i="17" s="1"/>
  <c r="K531" i="17"/>
  <c r="L531" i="17"/>
  <c r="M531" i="17" s="1"/>
  <c r="I532" i="17"/>
  <c r="N532" i="17" s="1"/>
  <c r="J532" i="17"/>
  <c r="O532" i="17" s="1"/>
  <c r="K532" i="17"/>
  <c r="L532" i="17"/>
  <c r="I533" i="17"/>
  <c r="N533" i="17" s="1"/>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I547" i="17"/>
  <c r="N547" i="17" s="1"/>
  <c r="J547" i="17"/>
  <c r="O547" i="17" s="1"/>
  <c r="K547" i="17"/>
  <c r="L547" i="17"/>
  <c r="M547" i="17" s="1"/>
  <c r="I548" i="17"/>
  <c r="N548" i="17" s="1"/>
  <c r="J548" i="17"/>
  <c r="O548" i="17" s="1"/>
  <c r="K548" i="17"/>
  <c r="L548" i="17"/>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I555" i="17"/>
  <c r="N555" i="17" s="1"/>
  <c r="J555" i="17"/>
  <c r="O555" i="17" s="1"/>
  <c r="K555" i="17"/>
  <c r="L555" i="17"/>
  <c r="I556" i="17"/>
  <c r="N556" i="17" s="1"/>
  <c r="J556" i="17"/>
  <c r="O556" i="17" s="1"/>
  <c r="K556" i="17"/>
  <c r="L556" i="17"/>
  <c r="I557" i="17"/>
  <c r="N557" i="17" s="1"/>
  <c r="J557" i="17"/>
  <c r="O557" i="17" s="1"/>
  <c r="K557" i="17"/>
  <c r="L557" i="17"/>
  <c r="I558" i="17"/>
  <c r="N558" i="17" s="1"/>
  <c r="J558" i="17"/>
  <c r="O558" i="17" s="1"/>
  <c r="K558" i="17"/>
  <c r="L558" i="17"/>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I565" i="17"/>
  <c r="N565" i="17" s="1"/>
  <c r="J565" i="17"/>
  <c r="O565" i="17" s="1"/>
  <c r="K565" i="17"/>
  <c r="L565" i="17"/>
  <c r="M565" i="17" s="1"/>
  <c r="I566" i="17"/>
  <c r="N566" i="17" s="1"/>
  <c r="J566" i="17"/>
  <c r="O566" i="17" s="1"/>
  <c r="K566" i="17"/>
  <c r="L566" i="17"/>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N570" i="17" s="1"/>
  <c r="J570" i="17"/>
  <c r="O570" i="17" s="1"/>
  <c r="K570" i="17"/>
  <c r="L570" i="17"/>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I578" i="17"/>
  <c r="N578" i="17" s="1"/>
  <c r="J578" i="17"/>
  <c r="O578" i="17" s="1"/>
  <c r="K578" i="17"/>
  <c r="L578" i="17"/>
  <c r="I579" i="17"/>
  <c r="N579" i="17" s="1"/>
  <c r="J579" i="17"/>
  <c r="O579" i="17" s="1"/>
  <c r="K579" i="17"/>
  <c r="L579" i="17"/>
  <c r="M579" i="17" s="1"/>
  <c r="I580" i="17"/>
  <c r="N580" i="17" s="1"/>
  <c r="J580" i="17"/>
  <c r="O580" i="17" s="1"/>
  <c r="K580" i="17"/>
  <c r="L580" i="17"/>
  <c r="I581" i="17"/>
  <c r="N581" i="17" s="1"/>
  <c r="J581" i="17"/>
  <c r="O581" i="17" s="1"/>
  <c r="K581" i="17"/>
  <c r="L581" i="17"/>
  <c r="M581" i="17" s="1"/>
  <c r="I582" i="17"/>
  <c r="N582" i="17" s="1"/>
  <c r="J582" i="17"/>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I587" i="17"/>
  <c r="N587" i="17" s="1"/>
  <c r="J587" i="17"/>
  <c r="O587" i="17" s="1"/>
  <c r="K587" i="17"/>
  <c r="L587" i="17"/>
  <c r="I588" i="17"/>
  <c r="N588" i="17" s="1"/>
  <c r="J588" i="17"/>
  <c r="O588" i="17" s="1"/>
  <c r="K588" i="17"/>
  <c r="L588" i="17"/>
  <c r="I589" i="17"/>
  <c r="N589" i="17" s="1"/>
  <c r="J589" i="17"/>
  <c r="O589" i="17" s="1"/>
  <c r="K589" i="17"/>
  <c r="L589" i="17"/>
  <c r="I590" i="17"/>
  <c r="N590" i="17" s="1"/>
  <c r="J590" i="17"/>
  <c r="O590" i="17" s="1"/>
  <c r="K590" i="17"/>
  <c r="L590" i="17"/>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I597" i="17"/>
  <c r="N597" i="17" s="1"/>
  <c r="J597" i="17"/>
  <c r="O597" i="17" s="1"/>
  <c r="K597" i="17"/>
  <c r="L597" i="17"/>
  <c r="M597" i="17" s="1"/>
  <c r="I598" i="17"/>
  <c r="N598" i="17" s="1"/>
  <c r="J598" i="17"/>
  <c r="O598" i="17" s="1"/>
  <c r="K598" i="17"/>
  <c r="L598" i="17"/>
  <c r="I599" i="17"/>
  <c r="N599" i="17" s="1"/>
  <c r="J599" i="17"/>
  <c r="O599" i="17" s="1"/>
  <c r="K599" i="17"/>
  <c r="L599" i="17"/>
  <c r="M599" i="17" s="1"/>
  <c r="I600" i="17"/>
  <c r="J600" i="17"/>
  <c r="O600" i="17" s="1"/>
  <c r="K600" i="17"/>
  <c r="L600" i="17"/>
  <c r="M600" i="17" s="1"/>
  <c r="I601" i="17"/>
  <c r="N601" i="17" s="1"/>
  <c r="J601" i="17"/>
  <c r="O601" i="17" s="1"/>
  <c r="K601" i="17"/>
  <c r="L601" i="17"/>
  <c r="M601" i="17" s="1"/>
  <c r="I602" i="17"/>
  <c r="N602" i="17" s="1"/>
  <c r="J602" i="17"/>
  <c r="O602" i="17" s="1"/>
  <c r="K602" i="17"/>
  <c r="L602" i="17"/>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I607" i="17"/>
  <c r="N607" i="17" s="1"/>
  <c r="J607" i="17"/>
  <c r="O607" i="17" s="1"/>
  <c r="K607" i="17"/>
  <c r="L607" i="17"/>
  <c r="M607" i="17" s="1"/>
  <c r="I608" i="17"/>
  <c r="N608" i="17" s="1"/>
  <c r="J608" i="17"/>
  <c r="O608" i="17" s="1"/>
  <c r="K608" i="17"/>
  <c r="L608" i="17"/>
  <c r="M608" i="17" s="1"/>
  <c r="I609" i="17"/>
  <c r="N609" i="17" s="1"/>
  <c r="J609" i="17"/>
  <c r="O609" i="17" s="1"/>
  <c r="K609" i="17"/>
  <c r="L609" i="17"/>
  <c r="I610" i="17"/>
  <c r="N610" i="17" s="1"/>
  <c r="J610" i="17"/>
  <c r="O610" i="17" s="1"/>
  <c r="K610" i="17"/>
  <c r="L610" i="17"/>
  <c r="I611" i="17"/>
  <c r="N611" i="17" s="1"/>
  <c r="J611" i="17"/>
  <c r="O611" i="17" s="1"/>
  <c r="K611" i="17"/>
  <c r="L611" i="17"/>
  <c r="M611" i="17" s="1"/>
  <c r="I612" i="17"/>
  <c r="N612" i="17" s="1"/>
  <c r="J612" i="17"/>
  <c r="O612" i="17" s="1"/>
  <c r="K612" i="17"/>
  <c r="L612" i="17"/>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M619" i="17" s="1"/>
  <c r="I620" i="17"/>
  <c r="N620" i="17" s="1"/>
  <c r="J620" i="17"/>
  <c r="O620" i="17" s="1"/>
  <c r="K620" i="17"/>
  <c r="L620" i="17"/>
  <c r="I621" i="17"/>
  <c r="N621" i="17" s="1"/>
  <c r="J621" i="17"/>
  <c r="O621" i="17" s="1"/>
  <c r="K621" i="17"/>
  <c r="L621" i="17"/>
  <c r="I622" i="17"/>
  <c r="N622" i="17" s="1"/>
  <c r="J622" i="17"/>
  <c r="O622" i="17" s="1"/>
  <c r="K622" i="17"/>
  <c r="L622" i="17"/>
  <c r="I623" i="17"/>
  <c r="N623" i="17" s="1"/>
  <c r="J623" i="17"/>
  <c r="O623" i="17" s="1"/>
  <c r="K623" i="17"/>
  <c r="L623" i="17"/>
  <c r="M623" i="17" s="1"/>
  <c r="I624" i="17"/>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I639" i="17"/>
  <c r="N639" i="17" s="1"/>
  <c r="J639" i="17"/>
  <c r="O639" i="17" s="1"/>
  <c r="K639" i="17"/>
  <c r="L639" i="17"/>
  <c r="M639" i="17" s="1"/>
  <c r="I640" i="17"/>
  <c r="N640" i="17" s="1"/>
  <c r="J640" i="17"/>
  <c r="O640" i="17" s="1"/>
  <c r="K640" i="17"/>
  <c r="L640" i="17"/>
  <c r="M640" i="17" s="1"/>
  <c r="I641" i="17"/>
  <c r="N641" i="17" s="1"/>
  <c r="J641" i="17"/>
  <c r="O641" i="17" s="1"/>
  <c r="K641" i="17"/>
  <c r="L641" i="17"/>
  <c r="I642" i="17"/>
  <c r="N642" i="17" s="1"/>
  <c r="J642" i="17"/>
  <c r="O642" i="17" s="1"/>
  <c r="K642" i="17"/>
  <c r="L642" i="17"/>
  <c r="I643" i="17"/>
  <c r="N643" i="17" s="1"/>
  <c r="J643" i="17"/>
  <c r="O643" i="17" s="1"/>
  <c r="K643" i="17"/>
  <c r="L643" i="17"/>
  <c r="I644" i="17"/>
  <c r="N644" i="17" s="1"/>
  <c r="J644" i="17"/>
  <c r="O644" i="17" s="1"/>
  <c r="K644" i="17"/>
  <c r="L644" i="17"/>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I651" i="17"/>
  <c r="N651" i="17" s="1"/>
  <c r="J651" i="17"/>
  <c r="O651" i="17" s="1"/>
  <c r="K651" i="17"/>
  <c r="L651" i="17"/>
  <c r="M651" i="17" s="1"/>
  <c r="I652" i="17"/>
  <c r="N652" i="17" s="1"/>
  <c r="J652" i="17"/>
  <c r="O652" i="17" s="1"/>
  <c r="K652" i="17"/>
  <c r="L652" i="17"/>
  <c r="I653" i="17"/>
  <c r="N653" i="17" s="1"/>
  <c r="J653" i="17"/>
  <c r="O653" i="17" s="1"/>
  <c r="K653" i="17"/>
  <c r="L653" i="17"/>
  <c r="I654" i="17"/>
  <c r="J654" i="17"/>
  <c r="O654" i="17" s="1"/>
  <c r="K654" i="17"/>
  <c r="L654" i="17"/>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K658" i="17"/>
  <c r="L658" i="17"/>
  <c r="M658" i="17" s="1"/>
  <c r="I659" i="17"/>
  <c r="N659" i="17" s="1"/>
  <c r="J659" i="17"/>
  <c r="O659" i="17" s="1"/>
  <c r="K659" i="17"/>
  <c r="L659" i="17"/>
  <c r="M659" i="17" s="1"/>
  <c r="I660" i="17"/>
  <c r="N660" i="17" s="1"/>
  <c r="J660" i="17"/>
  <c r="O660" i="17" s="1"/>
  <c r="K660" i="17"/>
  <c r="L660" i="17"/>
  <c r="I661" i="17"/>
  <c r="N661" i="17" s="1"/>
  <c r="J661" i="17"/>
  <c r="O661" i="17" s="1"/>
  <c r="K661" i="17"/>
  <c r="L661" i="17"/>
  <c r="I662" i="17"/>
  <c r="N662" i="17" s="1"/>
  <c r="J662" i="17"/>
  <c r="O662" i="17" s="1"/>
  <c r="K662" i="17"/>
  <c r="L662" i="17"/>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I671" i="17"/>
  <c r="N671" i="17" s="1"/>
  <c r="J671" i="17"/>
  <c r="O671" i="17" s="1"/>
  <c r="K671" i="17"/>
  <c r="L671" i="17"/>
  <c r="M671" i="17" s="1"/>
  <c r="I672" i="17"/>
  <c r="N672" i="17" s="1"/>
  <c r="J672" i="17"/>
  <c r="O672" i="17" s="1"/>
  <c r="K672" i="17"/>
  <c r="L672" i="17"/>
  <c r="M672" i="17" s="1"/>
  <c r="I673" i="17"/>
  <c r="N673" i="17" s="1"/>
  <c r="J673" i="17"/>
  <c r="O673" i="17" s="1"/>
  <c r="K673" i="17"/>
  <c r="L673" i="17"/>
  <c r="I674" i="17"/>
  <c r="N674" i="17" s="1"/>
  <c r="J674" i="17"/>
  <c r="O674" i="17" s="1"/>
  <c r="K674" i="17"/>
  <c r="L674" i="17"/>
  <c r="I675" i="17"/>
  <c r="N675" i="17" s="1"/>
  <c r="J675" i="17"/>
  <c r="O675" i="17" s="1"/>
  <c r="K675" i="17"/>
  <c r="L675" i="17"/>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I683" i="17"/>
  <c r="N683" i="17" s="1"/>
  <c r="J683" i="17"/>
  <c r="O683" i="17" s="1"/>
  <c r="K683" i="17"/>
  <c r="L683" i="17"/>
  <c r="M683" i="17" s="1"/>
  <c r="I684" i="17"/>
  <c r="N684" i="17" s="1"/>
  <c r="J684" i="17"/>
  <c r="O684" i="17" s="1"/>
  <c r="K684" i="17"/>
  <c r="L684" i="17"/>
  <c r="I685" i="17"/>
  <c r="N685" i="17" s="1"/>
  <c r="J685" i="17"/>
  <c r="O685" i="17" s="1"/>
  <c r="K685" i="17"/>
  <c r="L685" i="17"/>
  <c r="M685" i="17" s="1"/>
  <c r="I686" i="17"/>
  <c r="N686" i="17" s="1"/>
  <c r="J686" i="17"/>
  <c r="O686" i="17" s="1"/>
  <c r="K686" i="17"/>
  <c r="L686" i="17"/>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I693" i="17"/>
  <c r="N693" i="17" s="1"/>
  <c r="J693" i="17"/>
  <c r="O693" i="17" s="1"/>
  <c r="K693" i="17"/>
  <c r="L693" i="17"/>
  <c r="I694" i="17"/>
  <c r="N694" i="17" s="1"/>
  <c r="J694" i="17"/>
  <c r="O694" i="17" s="1"/>
  <c r="K694" i="17"/>
  <c r="L694" i="17"/>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I703" i="17"/>
  <c r="N703" i="17" s="1"/>
  <c r="J703" i="17"/>
  <c r="O703" i="17" s="1"/>
  <c r="K703" i="17"/>
  <c r="L703" i="17"/>
  <c r="M703" i="17" s="1"/>
  <c r="I704" i="17"/>
  <c r="N704" i="17" s="1"/>
  <c r="J704" i="17"/>
  <c r="O704" i="17" s="1"/>
  <c r="K704" i="17"/>
  <c r="L704" i="17"/>
  <c r="I705" i="17"/>
  <c r="N705" i="17" s="1"/>
  <c r="J705" i="17"/>
  <c r="O705" i="17" s="1"/>
  <c r="K705" i="17"/>
  <c r="L705" i="17"/>
  <c r="I706" i="17"/>
  <c r="N706" i="17" s="1"/>
  <c r="J706" i="17"/>
  <c r="O706" i="17" s="1"/>
  <c r="K706" i="17"/>
  <c r="L706" i="17"/>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N710" i="17" s="1"/>
  <c r="J710" i="17"/>
  <c r="O710" i="17" s="1"/>
  <c r="K710" i="17"/>
  <c r="L710" i="17"/>
  <c r="I711" i="17"/>
  <c r="N711" i="17" s="1"/>
  <c r="J711" i="17"/>
  <c r="O711" i="17" s="1"/>
  <c r="K711" i="17"/>
  <c r="L711" i="17"/>
  <c r="M711" i="17" s="1"/>
  <c r="I712" i="17"/>
  <c r="J712" i="17"/>
  <c r="O712" i="17" s="1"/>
  <c r="K712" i="17"/>
  <c r="L712" i="17"/>
  <c r="I713" i="17"/>
  <c r="N713" i="17" s="1"/>
  <c r="J713" i="17"/>
  <c r="O713" i="17" s="1"/>
  <c r="K713" i="17"/>
  <c r="L713" i="17"/>
  <c r="M713" i="17" s="1"/>
  <c r="I714" i="17"/>
  <c r="N714" i="17" s="1"/>
  <c r="J714" i="17"/>
  <c r="O714" i="17" s="1"/>
  <c r="K714" i="17"/>
  <c r="L714" i="17"/>
  <c r="I715" i="17"/>
  <c r="N715" i="17" s="1"/>
  <c r="J715" i="17"/>
  <c r="O715" i="17" s="1"/>
  <c r="K715" i="17"/>
  <c r="L715" i="17"/>
  <c r="M715" i="17" s="1"/>
  <c r="I716" i="17"/>
  <c r="N716" i="17" s="1"/>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I721" i="17"/>
  <c r="N721" i="17" s="1"/>
  <c r="J721" i="17"/>
  <c r="O721" i="17" s="1"/>
  <c r="K721" i="17"/>
  <c r="L721" i="17"/>
  <c r="I722" i="17"/>
  <c r="N722" i="17" s="1"/>
  <c r="J722" i="17"/>
  <c r="O722" i="17" s="1"/>
  <c r="K722" i="17"/>
  <c r="L722" i="17"/>
  <c r="I723" i="17"/>
  <c r="N723" i="17" s="1"/>
  <c r="J723" i="17"/>
  <c r="O723" i="17" s="1"/>
  <c r="K723" i="17"/>
  <c r="L723" i="17"/>
  <c r="M723" i="17" s="1"/>
  <c r="I724" i="17"/>
  <c r="N724" i="17" s="1"/>
  <c r="J724" i="17"/>
  <c r="O724" i="17" s="1"/>
  <c r="K724" i="17"/>
  <c r="L724" i="17"/>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J728" i="17"/>
  <c r="O728" i="17" s="1"/>
  <c r="K728" i="17"/>
  <c r="L728" i="17"/>
  <c r="M728" i="17" s="1"/>
  <c r="I729" i="17"/>
  <c r="N729" i="17" s="1"/>
  <c r="J729" i="17"/>
  <c r="O729" i="17" s="1"/>
  <c r="K729" i="17"/>
  <c r="L729" i="17"/>
  <c r="M729" i="17" s="1"/>
  <c r="I730" i="17"/>
  <c r="N730" i="17" s="1"/>
  <c r="J730" i="17"/>
  <c r="O730" i="17" s="1"/>
  <c r="K730" i="17"/>
  <c r="L730" i="17"/>
  <c r="I731" i="17"/>
  <c r="N731" i="17" s="1"/>
  <c r="J731" i="17"/>
  <c r="O731" i="17" s="1"/>
  <c r="K731" i="17"/>
  <c r="L731" i="17"/>
  <c r="I732" i="17"/>
  <c r="N732" i="17" s="1"/>
  <c r="J732" i="17"/>
  <c r="O732" i="17" s="1"/>
  <c r="K732" i="17"/>
  <c r="L732" i="17"/>
  <c r="I733" i="17"/>
  <c r="N733" i="17" s="1"/>
  <c r="J733" i="17"/>
  <c r="O733" i="17" s="1"/>
  <c r="K733" i="17"/>
  <c r="L733" i="17"/>
  <c r="I734" i="17"/>
  <c r="N734" i="17" s="1"/>
  <c r="J734" i="17"/>
  <c r="O734" i="17" s="1"/>
  <c r="K734" i="17"/>
  <c r="L734" i="17"/>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I741" i="17"/>
  <c r="N741" i="17" s="1"/>
  <c r="J741" i="17"/>
  <c r="O741" i="17" s="1"/>
  <c r="K741" i="17"/>
  <c r="L741" i="17"/>
  <c r="M741" i="17" s="1"/>
  <c r="I742" i="17"/>
  <c r="N742" i="17" s="1"/>
  <c r="J742" i="17"/>
  <c r="O742" i="17" s="1"/>
  <c r="K742" i="17"/>
  <c r="L742" i="17"/>
  <c r="I743" i="17"/>
  <c r="N743" i="17" s="1"/>
  <c r="J743" i="17"/>
  <c r="O743" i="17" s="1"/>
  <c r="K743" i="17"/>
  <c r="L743" i="17"/>
  <c r="M743" i="17" s="1"/>
  <c r="I744" i="17"/>
  <c r="N744" i="17" s="1"/>
  <c r="J744" i="17"/>
  <c r="O744" i="17" s="1"/>
  <c r="K744" i="17"/>
  <c r="L744" i="17"/>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I749" i="17"/>
  <c r="N749" i="17" s="1"/>
  <c r="J749" i="17"/>
  <c r="O749" i="17" s="1"/>
  <c r="K749" i="17"/>
  <c r="L749" i="17"/>
  <c r="I750" i="17"/>
  <c r="N750" i="17" s="1"/>
  <c r="J750" i="17"/>
  <c r="K750" i="17"/>
  <c r="L750" i="17"/>
  <c r="I751" i="17"/>
  <c r="N751" i="17" s="1"/>
  <c r="J751" i="17"/>
  <c r="O751" i="17" s="1"/>
  <c r="K751" i="17"/>
  <c r="L751" i="17"/>
  <c r="M751" i="17" s="1"/>
  <c r="I752" i="17"/>
  <c r="N752" i="17" s="1"/>
  <c r="J752" i="17"/>
  <c r="O752" i="17" s="1"/>
  <c r="K752" i="17"/>
  <c r="L752" i="17"/>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M759" i="17" s="1"/>
  <c r="I760" i="17"/>
  <c r="N760" i="17" s="1"/>
  <c r="J760" i="17"/>
  <c r="O760" i="17" s="1"/>
  <c r="K760" i="17"/>
  <c r="L760" i="17"/>
  <c r="I761" i="17"/>
  <c r="N761" i="17" s="1"/>
  <c r="J761" i="17"/>
  <c r="O761" i="17" s="1"/>
  <c r="K761" i="17"/>
  <c r="L761" i="17"/>
  <c r="I762" i="17"/>
  <c r="N762" i="17" s="1"/>
  <c r="J762" i="17"/>
  <c r="O762" i="17" s="1"/>
  <c r="K762" i="17"/>
  <c r="L762" i="17"/>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J766" i="17"/>
  <c r="O766" i="17" s="1"/>
  <c r="K766" i="17"/>
  <c r="L766" i="17"/>
  <c r="I767" i="17"/>
  <c r="N767" i="17" s="1"/>
  <c r="J767" i="17"/>
  <c r="O767" i="17" s="1"/>
  <c r="K767" i="17"/>
  <c r="L767" i="17"/>
  <c r="M767" i="17" s="1"/>
  <c r="I768" i="17"/>
  <c r="N768" i="17" s="1"/>
  <c r="J768" i="17"/>
  <c r="O768" i="17" s="1"/>
  <c r="K768" i="17"/>
  <c r="L768" i="17"/>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M781" i="17" s="1"/>
  <c r="I782" i="17"/>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I790" i="17"/>
  <c r="N790" i="17" s="1"/>
  <c r="J790" i="17"/>
  <c r="O790" i="17" s="1"/>
  <c r="K790" i="17"/>
  <c r="L790" i="17"/>
  <c r="M790" i="17" s="1"/>
  <c r="I791" i="17"/>
  <c r="N791" i="17" s="1"/>
  <c r="J791" i="17"/>
  <c r="O791" i="17" s="1"/>
  <c r="K791" i="17"/>
  <c r="L791" i="17"/>
  <c r="M791" i="17" s="1"/>
  <c r="I792" i="17"/>
  <c r="N792" i="17" s="1"/>
  <c r="J792" i="17"/>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I834" i="17"/>
  <c r="N834" i="17" s="1"/>
  <c r="J834" i="17"/>
  <c r="O834" i="17" s="1"/>
  <c r="K834" i="17"/>
  <c r="L834" i="17"/>
  <c r="M834" i="17" s="1"/>
  <c r="I835" i="17"/>
  <c r="N835" i="17" s="1"/>
  <c r="J835" i="17"/>
  <c r="O835" i="17" s="1"/>
  <c r="K835" i="17"/>
  <c r="L835" i="17"/>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I850" i="17"/>
  <c r="N850" i="17" s="1"/>
  <c r="J850" i="17"/>
  <c r="O850" i="17" s="1"/>
  <c r="K850" i="17"/>
  <c r="L850" i="17"/>
  <c r="M850" i="17" s="1"/>
  <c r="I851" i="17"/>
  <c r="N851" i="17" s="1"/>
  <c r="J851" i="17"/>
  <c r="O851" i="17" s="1"/>
  <c r="K851" i="17"/>
  <c r="L851" i="17"/>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I868" i="17"/>
  <c r="N868" i="17" s="1"/>
  <c r="J868" i="17"/>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I898" i="17"/>
  <c r="N898" i="17" s="1"/>
  <c r="J898" i="17"/>
  <c r="O898" i="17" s="1"/>
  <c r="K898" i="17"/>
  <c r="L898" i="17"/>
  <c r="M898" i="17" s="1"/>
  <c r="I899" i="17"/>
  <c r="N899" i="17" s="1"/>
  <c r="J899" i="17"/>
  <c r="O899" i="17" s="1"/>
  <c r="K899" i="17"/>
  <c r="L899" i="17"/>
  <c r="M899" i="17" s="1"/>
  <c r="I900" i="17"/>
  <c r="N900" i="17" s="1"/>
  <c r="J900" i="17"/>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I924" i="17"/>
  <c r="N924" i="17" s="1"/>
  <c r="J924" i="17"/>
  <c r="O924" i="17" s="1"/>
  <c r="K924" i="17"/>
  <c r="L924" i="17"/>
  <c r="M924" i="17" s="1"/>
  <c r="I925" i="17"/>
  <c r="N925" i="17" s="1"/>
  <c r="J925" i="17"/>
  <c r="O925" i="17" s="1"/>
  <c r="K925" i="17"/>
  <c r="L925" i="17"/>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I942" i="17"/>
  <c r="N942" i="17" s="1"/>
  <c r="J942" i="17"/>
  <c r="O942" i="17" s="1"/>
  <c r="K942" i="17"/>
  <c r="L942" i="17"/>
  <c r="M942" i="17" s="1"/>
  <c r="I943" i="17"/>
  <c r="N943" i="17" s="1"/>
  <c r="J943" i="17"/>
  <c r="O943" i="17" s="1"/>
  <c r="K943" i="17"/>
  <c r="L943" i="17"/>
  <c r="M943" i="17" s="1"/>
  <c r="I944" i="17"/>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J992" i="17"/>
  <c r="O992" i="17" s="1"/>
  <c r="K992" i="17"/>
  <c r="L992" i="17"/>
  <c r="M992" i="17" s="1"/>
  <c r="I993" i="17"/>
  <c r="N993" i="17" s="1"/>
  <c r="J993" i="17"/>
  <c r="O993" i="17" s="1"/>
  <c r="K993" i="17"/>
  <c r="L993" i="17"/>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N1003" i="17"/>
  <c r="J2" i="17"/>
  <c r="O2" i="17" s="1"/>
  <c r="K2" i="17"/>
  <c r="I2" i="17"/>
  <c r="N2" i="17" s="1"/>
  <c r="G1004" i="17"/>
  <c r="G1003" i="17"/>
  <c r="G1002" i="17"/>
  <c r="F9" i="17" a="1"/>
  <c r="F9" i="17" s="1"/>
  <c r="F10" i="17" a="1"/>
  <c r="F10" i="17" s="1"/>
  <c r="F11" i="17" a="1"/>
  <c r="F11" i="17" s="1"/>
  <c r="F12" i="17" a="1"/>
  <c r="F12" i="17" s="1"/>
  <c r="F13" i="17" a="1"/>
  <c r="F13" i="17" s="1"/>
  <c r="F14" i="17" a="1"/>
  <c r="F14" i="17"/>
  <c r="F15" i="17" a="1"/>
  <c r="F15" i="17" s="1"/>
  <c r="F16" i="17" a="1"/>
  <c r="F16" i="17" s="1"/>
  <c r="F17" i="17" a="1"/>
  <c r="F17" i="17" s="1"/>
  <c r="F18" i="17" a="1"/>
  <c r="F18" i="17" s="1"/>
  <c r="F19" i="17" a="1"/>
  <c r="F19" i="17" s="1"/>
  <c r="F20" i="17" a="1"/>
  <c r="F20" i="17" s="1"/>
  <c r="F21" i="17" a="1"/>
  <c r="F21" i="17" s="1"/>
  <c r="F22" i="17" a="1"/>
  <c r="F22" i="17" s="1"/>
  <c r="F23" i="17" a="1"/>
  <c r="F23" i="17" s="1"/>
  <c r="F24" i="17" a="1"/>
  <c r="F24" i="17"/>
  <c r="F25" i="17" a="1"/>
  <c r="F25" i="17" s="1"/>
  <c r="F26" i="17" a="1"/>
  <c r="F26" i="17"/>
  <c r="F27" i="17" a="1"/>
  <c r="F27" i="17" s="1"/>
  <c r="F28" i="17" a="1"/>
  <c r="F28" i="17" s="1"/>
  <c r="F29" i="17" a="1"/>
  <c r="F29" i="17" s="1"/>
  <c r="F30" i="17" a="1"/>
  <c r="F30" i="17" s="1"/>
  <c r="F31" i="17" a="1"/>
  <c r="F31" i="17" s="1"/>
  <c r="F32" i="17" a="1"/>
  <c r="F32" i="17" s="1"/>
  <c r="F33" i="17" a="1"/>
  <c r="F33" i="17" s="1"/>
  <c r="F34" i="17" a="1"/>
  <c r="F34" i="17" s="1"/>
  <c r="F35" i="17" a="1"/>
  <c r="F35" i="17" s="1"/>
  <c r="F36" i="17" a="1"/>
  <c r="F36" i="17" s="1"/>
  <c r="F37" i="17" a="1"/>
  <c r="F37" i="17" s="1"/>
  <c r="F38" i="17" a="1"/>
  <c r="F38" i="17"/>
  <c r="F39" i="17" a="1"/>
  <c r="F39" i="17" s="1"/>
  <c r="F40" i="17" a="1"/>
  <c r="F40" i="17" s="1"/>
  <c r="F41" i="17" a="1"/>
  <c r="F41" i="17" s="1"/>
  <c r="F42" i="17" a="1"/>
  <c r="F42" i="17" s="1"/>
  <c r="F43" i="17" a="1"/>
  <c r="F43" i="17" s="1"/>
  <c r="F44" i="17" a="1"/>
  <c r="F44" i="17" s="1"/>
  <c r="F45" i="17" a="1"/>
  <c r="F45" i="17" s="1"/>
  <c r="F46" i="17" a="1"/>
  <c r="F46" i="17" s="1"/>
  <c r="F47" i="17" a="1"/>
  <c r="F47" i="17"/>
  <c r="F48" i="17" a="1"/>
  <c r="F48" i="17" s="1"/>
  <c r="F49" i="17" a="1"/>
  <c r="F49" i="17" s="1"/>
  <c r="F50" i="17" a="1"/>
  <c r="F50" i="17" s="1"/>
  <c r="F51" i="17" a="1"/>
  <c r="F51" i="17" s="1"/>
  <c r="F52" i="17" a="1"/>
  <c r="F52" i="17"/>
  <c r="F53" i="17" a="1"/>
  <c r="F53" i="17" s="1"/>
  <c r="F54" i="17" a="1"/>
  <c r="F54" i="17" s="1"/>
  <c r="F55" i="17" a="1"/>
  <c r="F55" i="17" s="1"/>
  <c r="F56" i="17" a="1"/>
  <c r="F56" i="17"/>
  <c r="F57" i="17" a="1"/>
  <c r="F57" i="17" s="1"/>
  <c r="F58" i="17" a="1"/>
  <c r="F58" i="17" s="1"/>
  <c r="F59" i="17" a="1"/>
  <c r="F59" i="17" s="1"/>
  <c r="F60" i="17" a="1"/>
  <c r="F60" i="17" s="1"/>
  <c r="F61" i="17" a="1"/>
  <c r="F61" i="17" s="1"/>
  <c r="F62" i="17" a="1"/>
  <c r="F62" i="17"/>
  <c r="F63" i="17" a="1"/>
  <c r="F63" i="17"/>
  <c r="F64" i="17" a="1"/>
  <c r="F64" i="17" s="1"/>
  <c r="F65" i="17" a="1"/>
  <c r="F65" i="17" s="1"/>
  <c r="F66" i="17" a="1"/>
  <c r="F66" i="17" s="1"/>
  <c r="F67" i="17" a="1"/>
  <c r="F67" i="17"/>
  <c r="F68" i="17" a="1"/>
  <c r="F68" i="17" s="1"/>
  <c r="F69" i="17" a="1"/>
  <c r="F69" i="17" s="1"/>
  <c r="F70" i="17" a="1"/>
  <c r="F70" i="17"/>
  <c r="F71" i="17" a="1"/>
  <c r="F71" i="17" s="1"/>
  <c r="F72" i="17" a="1"/>
  <c r="F72" i="17"/>
  <c r="F73" i="17" a="1"/>
  <c r="F73" i="17" s="1"/>
  <c r="F74" i="17" a="1"/>
  <c r="F74" i="17" s="1"/>
  <c r="F75" i="17" a="1"/>
  <c r="F75" i="17"/>
  <c r="F76" i="17" a="1"/>
  <c r="F76" i="17" s="1"/>
  <c r="F77" i="17" a="1"/>
  <c r="F77" i="17" s="1"/>
  <c r="F78" i="17" a="1"/>
  <c r="F78" i="17" s="1"/>
  <c r="F79" i="17" a="1"/>
  <c r="F79" i="17"/>
  <c r="F80" i="17" a="1"/>
  <c r="F80" i="17"/>
  <c r="F81" i="17" a="1"/>
  <c r="F81" i="17" s="1"/>
  <c r="F82" i="17" a="1"/>
  <c r="F82" i="17" s="1"/>
  <c r="F83" i="17" a="1"/>
  <c r="F83" i="17" s="1"/>
  <c r="F84" i="17" a="1"/>
  <c r="F84" i="17" s="1"/>
  <c r="F85" i="17" a="1"/>
  <c r="F85" i="17" s="1"/>
  <c r="F86" i="17" a="1"/>
  <c r="F86" i="17"/>
  <c r="F87" i="17" a="1"/>
  <c r="F87" i="17" s="1"/>
  <c r="F88" i="17" a="1"/>
  <c r="F88" i="17" s="1"/>
  <c r="F89" i="17" a="1"/>
  <c r="F89" i="17" s="1"/>
  <c r="F90" i="17" a="1"/>
  <c r="F90" i="17"/>
  <c r="F91" i="17" a="1"/>
  <c r="F91" i="17" s="1"/>
  <c r="F92" i="17" a="1"/>
  <c r="F92" i="17" s="1"/>
  <c r="F93" i="17" a="1"/>
  <c r="F93" i="17" s="1"/>
  <c r="F94" i="17" a="1"/>
  <c r="F94" i="17" s="1"/>
  <c r="F95" i="17" a="1"/>
  <c r="F95" i="17" s="1"/>
  <c r="F96" i="17" a="1"/>
  <c r="F96" i="17" s="1"/>
  <c r="F97" i="17" a="1"/>
  <c r="F97" i="17" s="1"/>
  <c r="F98" i="17" a="1"/>
  <c r="F98" i="17"/>
  <c r="F99" i="17" a="1"/>
  <c r="F99" i="17" s="1"/>
  <c r="F100" i="17" a="1"/>
  <c r="F100" i="17" s="1"/>
  <c r="F101" i="17" a="1"/>
  <c r="F101" i="17" s="1"/>
  <c r="F102" i="17" a="1"/>
  <c r="F102" i="17" s="1"/>
  <c r="F103" i="17" a="1"/>
  <c r="F103" i="17"/>
  <c r="F104" i="17" a="1"/>
  <c r="F104" i="17" s="1"/>
  <c r="F105" i="17" a="1"/>
  <c r="F105" i="17" s="1"/>
  <c r="F106" i="17" a="1"/>
  <c r="F106" i="17" s="1"/>
  <c r="F107" i="17" a="1"/>
  <c r="F107" i="17" s="1"/>
  <c r="F108" i="17" a="1"/>
  <c r="F108" i="17" s="1"/>
  <c r="F109" i="17" a="1"/>
  <c r="F109" i="17" s="1"/>
  <c r="F110" i="17" a="1"/>
  <c r="F110" i="17" s="1"/>
  <c r="F111" i="17" a="1"/>
  <c r="F111" i="17"/>
  <c r="F112" i="17" a="1"/>
  <c r="F112" i="17" s="1"/>
  <c r="F113" i="17" a="1"/>
  <c r="F113" i="17" s="1"/>
  <c r="F114" i="17" a="1"/>
  <c r="F114" i="17" s="1"/>
  <c r="F115" i="17" a="1"/>
  <c r="F115" i="17" s="1"/>
  <c r="F116" i="17" a="1"/>
  <c r="F116" i="17"/>
  <c r="F117" i="17" a="1"/>
  <c r="F117" i="17" s="1"/>
  <c r="F118" i="17" a="1"/>
  <c r="F118" i="17" s="1"/>
  <c r="F119" i="17" a="1"/>
  <c r="F119" i="17" s="1"/>
  <c r="F120" i="17" a="1"/>
  <c r="F120" i="17" s="1"/>
  <c r="F121" i="17" a="1"/>
  <c r="F121" i="17" s="1"/>
  <c r="F122" i="17" a="1"/>
  <c r="F122" i="17" s="1"/>
  <c r="F123" i="17" a="1"/>
  <c r="F123" i="17" s="1"/>
  <c r="F124" i="17" a="1"/>
  <c r="F124" i="17" s="1"/>
  <c r="F125" i="17" a="1"/>
  <c r="F125" i="17" s="1"/>
  <c r="F126" i="17" a="1"/>
  <c r="F126" i="17" s="1"/>
  <c r="F127" i="17" a="1"/>
  <c r="F127" i="17" s="1"/>
  <c r="F128" i="17" a="1"/>
  <c r="F128" i="17" s="1"/>
  <c r="F129" i="17" a="1"/>
  <c r="F129" i="17" s="1"/>
  <c r="F130" i="17" a="1"/>
  <c r="F130" i="17"/>
  <c r="F131" i="17" a="1"/>
  <c r="F131" i="17" s="1"/>
  <c r="F132" i="17" a="1"/>
  <c r="F132" i="17" s="1"/>
  <c r="F133" i="17" a="1"/>
  <c r="F133" i="17" s="1"/>
  <c r="F134" i="17" a="1"/>
  <c r="F134" i="17"/>
  <c r="F135" i="17" a="1"/>
  <c r="F135" i="17"/>
  <c r="F136" i="17" a="1"/>
  <c r="F136" i="17" s="1"/>
  <c r="F137" i="17" a="1"/>
  <c r="F137" i="17" s="1"/>
  <c r="F138" i="17" a="1"/>
  <c r="F138" i="17" s="1"/>
  <c r="F139" i="17" a="1"/>
  <c r="F139" i="17"/>
  <c r="F140" i="17" a="1"/>
  <c r="F140" i="17"/>
  <c r="F141" i="17" a="1"/>
  <c r="F141" i="17" s="1"/>
  <c r="F142" i="17" a="1"/>
  <c r="F142" i="17" s="1"/>
  <c r="F143" i="17" a="1"/>
  <c r="F143" i="17" s="1"/>
  <c r="F144" i="17" a="1"/>
  <c r="F144" i="17"/>
  <c r="F145" i="17" a="1"/>
  <c r="F145" i="17" s="1"/>
  <c r="F146" i="17" a="1"/>
  <c r="F146" i="17" s="1"/>
  <c r="F147" i="17" a="1"/>
  <c r="F147" i="17" s="1"/>
  <c r="F148" i="17" a="1"/>
  <c r="F148" i="17" s="1"/>
  <c r="F149" i="17" a="1"/>
  <c r="F149" i="17" s="1"/>
  <c r="F150" i="17" a="1"/>
  <c r="F150" i="17"/>
  <c r="F151" i="17" a="1"/>
  <c r="F151" i="17" s="1"/>
  <c r="F152" i="17" a="1"/>
  <c r="F152" i="17"/>
  <c r="F153" i="17" a="1"/>
  <c r="F153" i="17" s="1"/>
  <c r="F154" i="17" a="1"/>
  <c r="F154" i="17" s="1"/>
  <c r="F155" i="17" a="1"/>
  <c r="F155" i="17" s="1"/>
  <c r="F156" i="17" a="1"/>
  <c r="F156" i="17" s="1"/>
  <c r="F157" i="17" a="1"/>
  <c r="F157" i="17" s="1"/>
  <c r="F158" i="17" a="1"/>
  <c r="F158" i="17"/>
  <c r="F159" i="17" a="1"/>
  <c r="F159" i="17" s="1"/>
  <c r="F160" i="17" a="1"/>
  <c r="F160" i="17" s="1"/>
  <c r="F161" i="17" a="1"/>
  <c r="F161" i="17" s="1"/>
  <c r="F162" i="17" a="1"/>
  <c r="F162" i="17"/>
  <c r="F163" i="17" a="1"/>
  <c r="F163" i="17"/>
  <c r="F164" i="17" a="1"/>
  <c r="F164" i="17" s="1"/>
  <c r="F165" i="17" a="1"/>
  <c r="F165" i="17" s="1"/>
  <c r="F166" i="17" a="1"/>
  <c r="F166" i="17" s="1"/>
  <c r="F167" i="17" a="1"/>
  <c r="F167" i="17" s="1"/>
  <c r="F168" i="17" a="1"/>
  <c r="F168" i="17"/>
  <c r="F169" i="17" a="1"/>
  <c r="F169" i="17" s="1"/>
  <c r="F170" i="17" a="1"/>
  <c r="F170" i="17" s="1"/>
  <c r="F171" i="17" a="1"/>
  <c r="F171" i="17" s="1"/>
  <c r="F172" i="17" a="1"/>
  <c r="F172" i="17" s="1"/>
  <c r="F173" i="17" a="1"/>
  <c r="F173" i="17" s="1"/>
  <c r="F174" i="17" a="1"/>
  <c r="F174" i="17" s="1"/>
  <c r="F175" i="17" a="1"/>
  <c r="F175" i="17"/>
  <c r="F176" i="17" a="1"/>
  <c r="F176" i="17" s="1"/>
  <c r="F177" i="17" a="1"/>
  <c r="F177" i="17" s="1"/>
  <c r="F178" i="17" a="1"/>
  <c r="F178" i="17" s="1"/>
  <c r="F179" i="17" a="1"/>
  <c r="F179" i="17" s="1"/>
  <c r="F180" i="17" a="1"/>
  <c r="F180" i="17" s="1"/>
  <c r="F181" i="17" a="1"/>
  <c r="F181" i="17" s="1"/>
  <c r="F182" i="17" a="1"/>
  <c r="F182" i="17" s="1"/>
  <c r="F183" i="17" a="1"/>
  <c r="F183" i="17" s="1"/>
  <c r="F184" i="17" a="1"/>
  <c r="F184" i="17"/>
  <c r="F185" i="17" a="1"/>
  <c r="F185" i="17" s="1"/>
  <c r="F186" i="17" a="1"/>
  <c r="F186" i="17" s="1"/>
  <c r="F187" i="17" a="1"/>
  <c r="F187" i="17" s="1"/>
  <c r="F188" i="17" a="1"/>
  <c r="F188" i="17" s="1"/>
  <c r="F189" i="17" a="1"/>
  <c r="F189" i="17" s="1"/>
  <c r="F190" i="17" a="1"/>
  <c r="F190" i="17"/>
  <c r="F191" i="17" a="1"/>
  <c r="F191" i="17" s="1"/>
  <c r="F192" i="17" a="1"/>
  <c r="F192" i="17" s="1"/>
  <c r="F193" i="17" a="1"/>
  <c r="F193" i="17" s="1"/>
  <c r="F194" i="17" a="1"/>
  <c r="F194" i="17"/>
  <c r="F195" i="17" a="1"/>
  <c r="F195" i="17"/>
  <c r="F196" i="17" a="1"/>
  <c r="F196" i="17" s="1"/>
  <c r="F197" i="17" a="1"/>
  <c r="F197" i="17" s="1"/>
  <c r="F198" i="17" a="1"/>
  <c r="F198" i="17" s="1"/>
  <c r="F199" i="17" a="1"/>
  <c r="F199" i="17"/>
  <c r="F200" i="17" a="1"/>
  <c r="F200" i="17"/>
  <c r="F201" i="17" a="1"/>
  <c r="F201" i="17" s="1"/>
  <c r="F202" i="17" a="1"/>
  <c r="F202" i="17" s="1"/>
  <c r="F203" i="17" a="1"/>
  <c r="F203" i="17" s="1"/>
  <c r="F204" i="17" a="1"/>
  <c r="F204" i="17"/>
  <c r="F205" i="17" a="1"/>
  <c r="F205" i="17" s="1"/>
  <c r="F206" i="17" a="1"/>
  <c r="F206" i="17" s="1"/>
  <c r="F207" i="17" a="1"/>
  <c r="F207" i="17" s="1"/>
  <c r="F208" i="17" a="1"/>
  <c r="F208" i="17" s="1"/>
  <c r="F209" i="17" a="1"/>
  <c r="F209" i="17" s="1"/>
  <c r="F210" i="17" a="1"/>
  <c r="F210" i="17" s="1"/>
  <c r="F211" i="17" a="1"/>
  <c r="F211" i="17" s="1"/>
  <c r="F212" i="17" a="1"/>
  <c r="F212" i="17"/>
  <c r="F213" i="17" a="1"/>
  <c r="F213" i="17" s="1"/>
  <c r="F214" i="17" a="1"/>
  <c r="F214" i="17" s="1"/>
  <c r="F215" i="17" a="1"/>
  <c r="F215" i="17" s="1"/>
  <c r="F216" i="17" a="1"/>
  <c r="F216" i="17"/>
  <c r="F217" i="17" a="1"/>
  <c r="F217" i="17" s="1"/>
  <c r="F218" i="17" a="1"/>
  <c r="F218" i="17" s="1"/>
  <c r="F219" i="17" a="1"/>
  <c r="F219" i="17" s="1"/>
  <c r="F220" i="17" a="1"/>
  <c r="F220" i="17" s="1"/>
  <c r="F221" i="17" a="1"/>
  <c r="F221" i="17" s="1"/>
  <c r="F222" i="17" a="1"/>
  <c r="F222" i="17" s="1"/>
  <c r="F223" i="17" a="1"/>
  <c r="F223" i="17"/>
  <c r="F224" i="17" a="1"/>
  <c r="F224" i="17" s="1"/>
  <c r="F225" i="17" a="1"/>
  <c r="F225" i="17" s="1"/>
  <c r="F226" i="17" a="1"/>
  <c r="F226" i="17" s="1"/>
  <c r="F227" i="17" a="1"/>
  <c r="F227" i="17" s="1"/>
  <c r="F228" i="17" a="1"/>
  <c r="F228" i="17" s="1"/>
  <c r="F229" i="17" a="1"/>
  <c r="F229" i="17" s="1"/>
  <c r="F230" i="17" a="1"/>
  <c r="F230" i="17"/>
  <c r="F231" i="17" a="1"/>
  <c r="F231" i="17" s="1"/>
  <c r="F232" i="17" a="1"/>
  <c r="F232" i="17" s="1"/>
  <c r="F233" i="17" a="1"/>
  <c r="F233" i="17" s="1"/>
  <c r="F234" i="17" a="1"/>
  <c r="F234" i="17" s="1"/>
  <c r="F235" i="17" a="1"/>
  <c r="F235" i="17" s="1"/>
  <c r="F236" i="17" a="1"/>
  <c r="F236" i="17" s="1"/>
  <c r="F237" i="17" a="1"/>
  <c r="F237" i="17" s="1"/>
  <c r="F238" i="17" a="1"/>
  <c r="F238" i="17" s="1"/>
  <c r="F239" i="17" a="1"/>
  <c r="F239" i="17" s="1"/>
  <c r="F240" i="17" a="1"/>
  <c r="F240" i="17" s="1"/>
  <c r="F241" i="17" a="1"/>
  <c r="F241" i="17" s="1"/>
  <c r="F242" i="17" a="1"/>
  <c r="F242" i="17" s="1"/>
  <c r="F243" i="17" a="1"/>
  <c r="F243" i="17" s="1"/>
  <c r="F244" i="17" a="1"/>
  <c r="F244" i="17"/>
  <c r="F245" i="17" a="1"/>
  <c r="F245" i="17" s="1"/>
  <c r="F246" i="17" a="1"/>
  <c r="F246" i="17" s="1"/>
  <c r="F247" i="17" a="1"/>
  <c r="F247" i="17" s="1"/>
  <c r="F248" i="17" a="1"/>
  <c r="F248" i="17"/>
  <c r="F249" i="17" a="1"/>
  <c r="F249" i="17" s="1"/>
  <c r="F250" i="17" a="1"/>
  <c r="F250" i="17"/>
  <c r="F251" i="17" a="1"/>
  <c r="F251" i="17" s="1"/>
  <c r="F252" i="17" a="1"/>
  <c r="F252" i="17" s="1"/>
  <c r="F253" i="17" a="1"/>
  <c r="F253" i="17" s="1"/>
  <c r="F254" i="17" a="1"/>
  <c r="F254" i="17"/>
  <c r="F255" i="17" a="1"/>
  <c r="F255" i="17"/>
  <c r="F256" i="17" a="1"/>
  <c r="F256" i="17" s="1"/>
  <c r="F257" i="17" a="1"/>
  <c r="F257" i="17" s="1"/>
  <c r="F258" i="17" a="1"/>
  <c r="F258" i="17" s="1"/>
  <c r="F259" i="17" a="1"/>
  <c r="F259" i="17"/>
  <c r="F260" i="17" a="1"/>
  <c r="F260" i="17" s="1"/>
  <c r="F261" i="17" a="1"/>
  <c r="F261" i="17" s="1"/>
  <c r="F262" i="17" a="1"/>
  <c r="F262" i="17"/>
  <c r="F263" i="17" a="1"/>
  <c r="F263" i="17" s="1"/>
  <c r="F264" i="17" a="1"/>
  <c r="F264" i="17" s="1"/>
  <c r="F265" i="17" a="1"/>
  <c r="F265" i="17" s="1"/>
  <c r="F266" i="17" a="1"/>
  <c r="F266" i="17" s="1"/>
  <c r="F267" i="17" a="1"/>
  <c r="F267" i="17"/>
  <c r="F268" i="17" a="1"/>
  <c r="F268" i="17" s="1"/>
  <c r="F269" i="17" a="1"/>
  <c r="F269" i="17" s="1"/>
  <c r="F270" i="17" a="1"/>
  <c r="F270" i="17" s="1"/>
  <c r="F271" i="17" a="1"/>
  <c r="F271" i="17"/>
  <c r="F272" i="17" a="1"/>
  <c r="F272" i="17"/>
  <c r="F273" i="17" a="1"/>
  <c r="F273" i="17" s="1"/>
  <c r="F274" i="17" a="1"/>
  <c r="F274" i="17" s="1"/>
  <c r="F275" i="17" a="1"/>
  <c r="F275" i="17" s="1"/>
  <c r="F276" i="17" a="1"/>
  <c r="F276" i="17" s="1"/>
  <c r="F277" i="17" a="1"/>
  <c r="F277" i="17" s="1"/>
  <c r="F278" i="17" a="1"/>
  <c r="F278" i="17"/>
  <c r="F279" i="17" a="1"/>
  <c r="F279" i="17" s="1"/>
  <c r="F280" i="17" a="1"/>
  <c r="F280" i="17" s="1"/>
  <c r="F281" i="17" a="1"/>
  <c r="F281" i="17" s="1"/>
  <c r="F282" i="17" a="1"/>
  <c r="F282" i="17"/>
  <c r="F283" i="17" a="1"/>
  <c r="F283" i="17" s="1"/>
  <c r="F284" i="17" a="1"/>
  <c r="F284" i="17"/>
  <c r="F285" i="17" a="1"/>
  <c r="F285" i="17" s="1"/>
  <c r="F286" i="17" a="1"/>
  <c r="F286" i="17" s="1"/>
  <c r="F287" i="17" a="1"/>
  <c r="F287" i="17" s="1"/>
  <c r="F288" i="17" a="1"/>
  <c r="F288" i="17" s="1"/>
  <c r="F289" i="17" a="1"/>
  <c r="F289" i="17" s="1"/>
  <c r="F290" i="17" a="1"/>
  <c r="F290" i="17"/>
  <c r="F291" i="17" a="1"/>
  <c r="F291" i="17" s="1"/>
  <c r="F292" i="17" a="1"/>
  <c r="F292" i="17" s="1"/>
  <c r="F293" i="17" a="1"/>
  <c r="F293" i="17" s="1"/>
  <c r="F294" i="17" a="1"/>
  <c r="F294" i="17"/>
  <c r="F295" i="17" a="1"/>
  <c r="F295" i="17"/>
  <c r="F296" i="17" a="1"/>
  <c r="F296" i="17" s="1"/>
  <c r="F297" i="17" a="1"/>
  <c r="F297" i="17" s="1"/>
  <c r="F298" i="17" a="1"/>
  <c r="F298" i="17" s="1"/>
  <c r="F299" i="17" a="1"/>
  <c r="F299" i="17" s="1"/>
  <c r="F300" i="17" a="1"/>
  <c r="F300" i="17" s="1"/>
  <c r="F301" i="17" a="1"/>
  <c r="F301" i="17" s="1"/>
  <c r="F302" i="17" a="1"/>
  <c r="F302" i="17" s="1"/>
  <c r="F303" i="17" a="1"/>
  <c r="F303" i="17"/>
  <c r="F304" i="17" a="1"/>
  <c r="F304" i="17" s="1"/>
  <c r="F305" i="17" a="1"/>
  <c r="F305" i="17" s="1"/>
  <c r="F306" i="17" a="1"/>
  <c r="F306" i="17" s="1"/>
  <c r="F307" i="17" a="1"/>
  <c r="F307" i="17"/>
  <c r="F308" i="17" a="1"/>
  <c r="F308" i="17"/>
  <c r="F309" i="17" a="1"/>
  <c r="F309" i="17" s="1"/>
  <c r="F310" i="17" a="1"/>
  <c r="F310" i="17" s="1"/>
  <c r="F311" i="17" a="1"/>
  <c r="F311" i="17" s="1"/>
  <c r="F312" i="17" a="1"/>
  <c r="F312" i="17"/>
  <c r="F313" i="17" a="1"/>
  <c r="F313" i="17" s="1"/>
  <c r="F314" i="17" a="1"/>
  <c r="F314" i="17"/>
  <c r="F315" i="17" a="1"/>
  <c r="F315" i="17" s="1"/>
  <c r="F316" i="17" a="1"/>
  <c r="F316" i="17" s="1"/>
  <c r="F317" i="17" a="1"/>
  <c r="F317" i="17" s="1"/>
  <c r="F318" i="17" a="1"/>
  <c r="F318" i="17"/>
  <c r="F319" i="17" a="1"/>
  <c r="F319" i="17"/>
  <c r="F320" i="17" a="1"/>
  <c r="F320" i="17" s="1"/>
  <c r="F321" i="17" a="1"/>
  <c r="F321" i="17" s="1"/>
  <c r="F322" i="17" a="1"/>
  <c r="F322" i="17" s="1"/>
  <c r="F323" i="17" a="1"/>
  <c r="F323" i="17"/>
  <c r="F324" i="17" a="1"/>
  <c r="F324" i="17"/>
  <c r="F325" i="17" a="1"/>
  <c r="F325" i="17" s="1"/>
  <c r="F326" i="17" a="1"/>
  <c r="F326" i="17" s="1"/>
  <c r="F327" i="17" a="1"/>
  <c r="F327" i="17"/>
  <c r="F328" i="17" a="1"/>
  <c r="F328" i="17"/>
  <c r="F329" i="17" a="1"/>
  <c r="F329" i="17" s="1"/>
  <c r="F330" i="17" a="1"/>
  <c r="F330" i="17" s="1"/>
  <c r="F331" i="17" a="1"/>
  <c r="F331" i="17" s="1"/>
  <c r="F332" i="17" a="1"/>
  <c r="F332" i="17"/>
  <c r="F333" i="17" a="1"/>
  <c r="F333" i="17" s="1"/>
  <c r="F334" i="17" a="1"/>
  <c r="F334" i="17" s="1"/>
  <c r="F335" i="17" a="1"/>
  <c r="F335" i="17"/>
  <c r="F336" i="17" a="1"/>
  <c r="F336" i="17" s="1"/>
  <c r="F337" i="17" a="1"/>
  <c r="F337" i="17" s="1"/>
  <c r="F338" i="17" a="1"/>
  <c r="F338" i="17"/>
  <c r="F339" i="17" a="1"/>
  <c r="F339" i="17"/>
  <c r="F340" i="17" a="1"/>
  <c r="F340" i="17" s="1"/>
  <c r="F341" i="17" a="1"/>
  <c r="F341" i="17" s="1"/>
  <c r="F342" i="17" a="1"/>
  <c r="F342" i="17" s="1"/>
  <c r="F343" i="17" a="1"/>
  <c r="F343" i="17" s="1"/>
  <c r="F344" i="17" a="1"/>
  <c r="F344" i="17"/>
  <c r="F345" i="17" a="1"/>
  <c r="F345" i="17" s="1"/>
  <c r="F346" i="17" a="1"/>
  <c r="F346" i="17" s="1"/>
  <c r="F347" i="17" a="1"/>
  <c r="F347" i="17" s="1"/>
  <c r="F348" i="17" a="1"/>
  <c r="F348" i="17" s="1"/>
  <c r="F349" i="17" a="1"/>
  <c r="F349" i="17"/>
  <c r="F350" i="17" a="1"/>
  <c r="F350" i="17" s="1"/>
  <c r="F351" i="17" a="1"/>
  <c r="F351" i="17"/>
  <c r="F352" i="17" a="1"/>
  <c r="F352" i="17" s="1"/>
  <c r="F353" i="17" a="1"/>
  <c r="F353" i="17" s="1"/>
  <c r="F354" i="17" a="1"/>
  <c r="F354" i="17" s="1"/>
  <c r="F355" i="17" a="1"/>
  <c r="F355" i="17"/>
  <c r="F356" i="17" a="1"/>
  <c r="F356" i="17" s="1"/>
  <c r="F357" i="17" a="1"/>
  <c r="F357" i="17"/>
  <c r="F358" i="17" a="1"/>
  <c r="F358" i="17" s="1"/>
  <c r="F359" i="17" a="1"/>
  <c r="F359" i="17" s="1"/>
  <c r="F360" i="17" a="1"/>
  <c r="F360" i="17" s="1"/>
  <c r="F361" i="17" a="1"/>
  <c r="F361" i="17"/>
  <c r="F362" i="17" a="1"/>
  <c r="F362" i="17" s="1"/>
  <c r="F363" i="17" a="1"/>
  <c r="F363" i="17" s="1"/>
  <c r="F364" i="17" a="1"/>
  <c r="F364" i="17" s="1"/>
  <c r="F365" i="17" a="1"/>
  <c r="F365" i="17" s="1"/>
  <c r="F366" i="17" a="1"/>
  <c r="F366" i="17"/>
  <c r="F367" i="17" a="1"/>
  <c r="F367" i="17"/>
  <c r="F368" i="17" a="1"/>
  <c r="F368" i="17" s="1"/>
  <c r="F369" i="17" a="1"/>
  <c r="F369" i="17" s="1"/>
  <c r="F370" i="17" a="1"/>
  <c r="F370" i="17"/>
  <c r="F371" i="17" a="1"/>
  <c r="F371" i="17" s="1"/>
  <c r="F372" i="17" a="1"/>
  <c r="F372" i="17" s="1"/>
  <c r="F373" i="17" a="1"/>
  <c r="F373" i="17" s="1"/>
  <c r="F374" i="17" a="1"/>
  <c r="F374" i="17" s="1"/>
  <c r="F375" i="17" a="1"/>
  <c r="F375" i="17" s="1"/>
  <c r="F376" i="17" a="1"/>
  <c r="F376" i="17" s="1"/>
  <c r="F377" i="17" a="1"/>
  <c r="F377" i="17" s="1"/>
  <c r="F378" i="17" a="1"/>
  <c r="F378" i="17"/>
  <c r="F379" i="17" a="1"/>
  <c r="F379" i="17" s="1"/>
  <c r="F380" i="17" a="1"/>
  <c r="F380" i="17" s="1"/>
  <c r="F381" i="17" a="1"/>
  <c r="F381" i="17"/>
  <c r="F382" i="17" a="1"/>
  <c r="F382" i="17" s="1"/>
  <c r="F383" i="17" a="1"/>
  <c r="F383" i="17"/>
  <c r="F384" i="17" a="1"/>
  <c r="F384" i="17" s="1"/>
  <c r="F385" i="17" a="1"/>
  <c r="F385" i="17" s="1"/>
  <c r="F386" i="17" a="1"/>
  <c r="F386" i="17" s="1"/>
  <c r="F387" i="17" a="1"/>
  <c r="F387" i="17"/>
  <c r="F388" i="17" a="1"/>
  <c r="F388" i="17" s="1"/>
  <c r="F389" i="17" a="1"/>
  <c r="F389" i="17"/>
  <c r="F390" i="17" a="1"/>
  <c r="F390" i="17" s="1"/>
  <c r="F391" i="17" a="1"/>
  <c r="F391" i="17" s="1"/>
  <c r="F392" i="17" a="1"/>
  <c r="F392" i="17" s="1"/>
  <c r="F393" i="17" a="1"/>
  <c r="F393" i="17"/>
  <c r="F394" i="17" a="1"/>
  <c r="F394" i="17" s="1"/>
  <c r="F395" i="17" a="1"/>
  <c r="F395" i="17" s="1"/>
  <c r="F396" i="17" a="1"/>
  <c r="F396" i="17" s="1"/>
  <c r="F397" i="17" a="1"/>
  <c r="F397" i="17" s="1"/>
  <c r="F398" i="17" a="1"/>
  <c r="F398" i="17"/>
  <c r="F399" i="17" a="1"/>
  <c r="F399" i="17"/>
  <c r="F400" i="17" a="1"/>
  <c r="F400" i="17" s="1"/>
  <c r="F401" i="17" a="1"/>
  <c r="F401" i="17" s="1"/>
  <c r="F402" i="17" a="1"/>
  <c r="F402" i="17" s="1"/>
  <c r="F403" i="17" a="1"/>
  <c r="F403" i="17" s="1"/>
  <c r="F404" i="17" a="1"/>
  <c r="F404" i="17" s="1"/>
  <c r="F405" i="17" a="1"/>
  <c r="F405" i="17" s="1"/>
  <c r="F406" i="17" a="1"/>
  <c r="F406" i="17"/>
  <c r="F407" i="17" a="1"/>
  <c r="F407" i="17" s="1"/>
  <c r="F408" i="17" a="1"/>
  <c r="F408" i="17" s="1"/>
  <c r="F409" i="17" a="1"/>
  <c r="F409" i="17" s="1"/>
  <c r="F410" i="17" a="1"/>
  <c r="F410" i="17"/>
  <c r="F411" i="17" a="1"/>
  <c r="F411" i="17"/>
  <c r="F412" i="17" a="1"/>
  <c r="F412" i="17" s="1"/>
  <c r="F413" i="17" a="1"/>
  <c r="F413" i="17" s="1"/>
  <c r="F414" i="17" a="1"/>
  <c r="F414" i="17" s="1"/>
  <c r="F415" i="17" a="1"/>
  <c r="F415" i="17"/>
  <c r="F416" i="17" a="1"/>
  <c r="F416" i="17" s="1"/>
  <c r="F417" i="17" a="1"/>
  <c r="F417" i="17" s="1"/>
  <c r="F418" i="17" a="1"/>
  <c r="F418" i="17" s="1"/>
  <c r="F419" i="17" a="1"/>
  <c r="F419" i="17" s="1"/>
  <c r="F420" i="17" a="1"/>
  <c r="F420" i="17" s="1"/>
  <c r="F421" i="17" a="1"/>
  <c r="F421" i="17"/>
  <c r="F422" i="17" a="1"/>
  <c r="F422" i="17"/>
  <c r="F423" i="17" a="1"/>
  <c r="F423" i="17" s="1"/>
  <c r="F424" i="17" a="1"/>
  <c r="F424" i="17" s="1"/>
  <c r="F425" i="17" a="1"/>
  <c r="F425" i="17"/>
  <c r="F426" i="17" a="1"/>
  <c r="F426" i="17" s="1"/>
  <c r="F427" i="17" a="1"/>
  <c r="F427" i="17" s="1"/>
  <c r="F428" i="17" a="1"/>
  <c r="F428" i="17" s="1"/>
  <c r="F429" i="17" a="1"/>
  <c r="F429" i="17" s="1"/>
  <c r="F430" i="17" a="1"/>
  <c r="F430" i="17" s="1"/>
  <c r="F431" i="17" a="1"/>
  <c r="F431" i="17"/>
  <c r="F432" i="17" a="1"/>
  <c r="F432" i="17" s="1"/>
  <c r="F433" i="17" a="1"/>
  <c r="F433" i="17"/>
  <c r="F434" i="17" a="1"/>
  <c r="F434" i="17" s="1"/>
  <c r="F435" i="17" a="1"/>
  <c r="F435" i="17" s="1"/>
  <c r="F436" i="17" a="1"/>
  <c r="F436" i="17" s="1"/>
  <c r="F437" i="17" a="1"/>
  <c r="F437" i="17" s="1"/>
  <c r="F438" i="17" a="1"/>
  <c r="F438" i="17"/>
  <c r="F439" i="17" a="1"/>
  <c r="F439" i="17" s="1"/>
  <c r="F440" i="17" a="1"/>
  <c r="F440" i="17" s="1"/>
  <c r="F441" i="17" a="1"/>
  <c r="F441" i="17" s="1"/>
  <c r="F442" i="17" a="1"/>
  <c r="F442" i="17"/>
  <c r="F443" i="17" a="1"/>
  <c r="F443" i="17"/>
  <c r="F444" i="17" a="1"/>
  <c r="F444" i="17" s="1"/>
  <c r="F445" i="17" a="1"/>
  <c r="F445" i="17" s="1"/>
  <c r="F446" i="17" a="1"/>
  <c r="F446" i="17" s="1"/>
  <c r="F447" i="17" a="1"/>
  <c r="F447" i="17"/>
  <c r="F448" i="17" a="1"/>
  <c r="F448" i="17" s="1"/>
  <c r="F449" i="17" a="1"/>
  <c r="F449" i="17" s="1"/>
  <c r="F450" i="17" a="1"/>
  <c r="F450" i="17" s="1"/>
  <c r="F451" i="17" a="1"/>
  <c r="F451" i="17" s="1"/>
  <c r="F452" i="17" a="1"/>
  <c r="F452" i="17" s="1"/>
  <c r="F453" i="17" a="1"/>
  <c r="F453" i="17"/>
  <c r="F454" i="17" a="1"/>
  <c r="F454" i="17"/>
  <c r="F455" i="17" a="1"/>
  <c r="F455" i="17" s="1"/>
  <c r="F456" i="17" a="1"/>
  <c r="F456" i="17" s="1"/>
  <c r="F457" i="17" a="1"/>
  <c r="F457" i="17" s="1"/>
  <c r="F458" i="17" a="1"/>
  <c r="F458" i="17"/>
  <c r="F459" i="17" a="1"/>
  <c r="F459" i="17" s="1"/>
  <c r="F460" i="17" a="1"/>
  <c r="F460" i="17" s="1"/>
  <c r="F461" i="17" a="1"/>
  <c r="F461" i="17" s="1"/>
  <c r="F462" i="17" a="1"/>
  <c r="F462" i="17" s="1"/>
  <c r="F463" i="17" a="1"/>
  <c r="F463" i="17"/>
  <c r="F464" i="17" a="1"/>
  <c r="F464" i="17" s="1"/>
  <c r="F465" i="17" a="1"/>
  <c r="F465" i="17"/>
  <c r="F466" i="17" a="1"/>
  <c r="F466" i="17" s="1"/>
  <c r="F467" i="17" a="1"/>
  <c r="F467" i="17"/>
  <c r="F468" i="17" a="1"/>
  <c r="F468" i="17" s="1"/>
  <c r="F469" i="17" a="1"/>
  <c r="F469" i="17" s="1"/>
  <c r="F470" i="17" a="1"/>
  <c r="F470" i="17"/>
  <c r="F471" i="17" a="1"/>
  <c r="F471" i="17" s="1"/>
  <c r="F472" i="17" a="1"/>
  <c r="F472" i="17" s="1"/>
  <c r="F473" i="17" a="1"/>
  <c r="F473" i="17" s="1"/>
  <c r="F474" i="17" a="1"/>
  <c r="F474" i="17"/>
  <c r="F475" i="17" a="1"/>
  <c r="F475" i="17"/>
  <c r="F476" i="17" a="1"/>
  <c r="F476" i="17" s="1"/>
  <c r="F477" i="17" a="1"/>
  <c r="F477" i="17" s="1"/>
  <c r="F478" i="17" a="1"/>
  <c r="F478" i="17" s="1"/>
  <c r="F479" i="17" a="1"/>
  <c r="F479" i="17"/>
  <c r="F480" i="17" a="1"/>
  <c r="F480" i="17" s="1"/>
  <c r="F481" i="17" a="1"/>
  <c r="F481" i="17" s="1"/>
  <c r="F482" i="17" a="1"/>
  <c r="F482" i="17" s="1"/>
  <c r="F483" i="17" a="1"/>
  <c r="F483" i="17"/>
  <c r="F484" i="17" a="1"/>
  <c r="F484" i="17" s="1"/>
  <c r="F485" i="17" a="1"/>
  <c r="F485" i="17"/>
  <c r="F486" i="17" a="1"/>
  <c r="F486" i="17" s="1"/>
  <c r="F487" i="17" a="1"/>
  <c r="F487" i="17" s="1"/>
  <c r="F488" i="17" a="1"/>
  <c r="F488" i="17" s="1"/>
  <c r="F489" i="17" a="1"/>
  <c r="F489" i="17"/>
  <c r="F490" i="17" a="1"/>
  <c r="F490" i="17"/>
  <c r="F491" i="17" a="1"/>
  <c r="F491" i="17" s="1"/>
  <c r="F492" i="17" a="1"/>
  <c r="F492" i="17" s="1"/>
  <c r="F493" i="17" a="1"/>
  <c r="F493" i="17" s="1"/>
  <c r="F494" i="17" a="1"/>
  <c r="F494" i="17"/>
  <c r="F495" i="17" a="1"/>
  <c r="F495" i="17"/>
  <c r="F496" i="17" a="1"/>
  <c r="F496" i="17" s="1"/>
  <c r="F497" i="17" a="1"/>
  <c r="F497" i="17" s="1"/>
  <c r="F498" i="17" a="1"/>
  <c r="F498" i="17"/>
  <c r="F499" i="17" a="1"/>
  <c r="F499" i="17" s="1"/>
  <c r="F500" i="17" a="1"/>
  <c r="F500" i="17" s="1"/>
  <c r="F501" i="17" a="1"/>
  <c r="F501" i="17" s="1"/>
  <c r="F502" i="17" a="1"/>
  <c r="F502" i="17" s="1"/>
  <c r="F503" i="17" a="1"/>
  <c r="F503" i="17" s="1"/>
  <c r="F504" i="17" a="1"/>
  <c r="F504" i="17" s="1"/>
  <c r="F505" i="17" a="1"/>
  <c r="F505" i="17" s="1"/>
  <c r="F506" i="17" a="1"/>
  <c r="F506" i="17"/>
  <c r="F507" i="17" a="1"/>
  <c r="F507" i="17" s="1"/>
  <c r="F508" i="17" a="1"/>
  <c r="F508" i="17" s="1"/>
  <c r="F509" i="17" a="1"/>
  <c r="F509" i="17"/>
  <c r="F510" i="17" a="1"/>
  <c r="F510" i="17" s="1"/>
  <c r="F511" i="17" a="1"/>
  <c r="F511" i="17"/>
  <c r="F512" i="17" a="1"/>
  <c r="F512" i="17" s="1"/>
  <c r="F513" i="17" a="1"/>
  <c r="F513" i="17" s="1"/>
  <c r="F514" i="17" a="1"/>
  <c r="F514" i="17" s="1"/>
  <c r="F515" i="17" a="1"/>
  <c r="F515" i="17" s="1"/>
  <c r="F516" i="17" a="1"/>
  <c r="F516" i="17" s="1"/>
  <c r="F517" i="17" a="1"/>
  <c r="F517" i="17"/>
  <c r="F518" i="17" a="1"/>
  <c r="F518" i="17" s="1"/>
  <c r="F519" i="17" a="1"/>
  <c r="F519" i="17" s="1"/>
  <c r="F520" i="17" a="1"/>
  <c r="F520" i="17" s="1"/>
  <c r="F521" i="17" a="1"/>
  <c r="F521" i="17"/>
  <c r="F522" i="17" a="1"/>
  <c r="F522" i="17"/>
  <c r="F523" i="17" a="1"/>
  <c r="F523" i="17" s="1"/>
  <c r="F524" i="17" a="1"/>
  <c r="F524" i="17" s="1"/>
  <c r="F525" i="17" a="1"/>
  <c r="F525" i="17" s="1"/>
  <c r="F526" i="17" a="1"/>
  <c r="F526" i="17"/>
  <c r="F527" i="17" a="1"/>
  <c r="F527" i="17"/>
  <c r="F528" i="17" a="1"/>
  <c r="F528" i="17" s="1"/>
  <c r="F529" i="17" a="1"/>
  <c r="F529" i="17" s="1"/>
  <c r="F530" i="17" a="1"/>
  <c r="F530" i="17"/>
  <c r="F531" i="17" a="1"/>
  <c r="F531" i="17"/>
  <c r="F532" i="17" a="1"/>
  <c r="F532" i="17" s="1"/>
  <c r="F533" i="17" a="1"/>
  <c r="F533" i="17" s="1"/>
  <c r="F534" i="17" a="1"/>
  <c r="F534" i="17" s="1"/>
  <c r="F535" i="17" a="1"/>
  <c r="F535" i="17"/>
  <c r="F536" i="17" a="1"/>
  <c r="F536" i="17" s="1"/>
  <c r="F537" i="17" a="1"/>
  <c r="F537" i="17" s="1"/>
  <c r="F538" i="17" a="1"/>
  <c r="F538" i="17"/>
  <c r="F539" i="17" a="1"/>
  <c r="F539" i="17" s="1"/>
  <c r="F540" i="17" a="1"/>
  <c r="F540" i="17" s="1"/>
  <c r="F541" i="17" a="1"/>
  <c r="F541" i="17"/>
  <c r="F542" i="17" a="1"/>
  <c r="F542" i="17" s="1"/>
  <c r="F543" i="17" a="1"/>
  <c r="F543" i="17"/>
  <c r="F544" i="17" a="1"/>
  <c r="F544" i="17" s="1"/>
  <c r="F545" i="17" a="1"/>
  <c r="F545" i="17" s="1"/>
  <c r="F546" i="17" a="1"/>
  <c r="F546" i="17" s="1"/>
  <c r="F547" i="17" a="1"/>
  <c r="F547" i="17"/>
  <c r="F548" i="17" a="1"/>
  <c r="F548" i="17" s="1"/>
  <c r="F549" i="17" a="1"/>
  <c r="F549" i="17" s="1"/>
  <c r="F550" i="17" a="1"/>
  <c r="F550" i="17" s="1"/>
  <c r="F551" i="17" a="1"/>
  <c r="F551" i="17" s="1"/>
  <c r="F552" i="17" a="1"/>
  <c r="F552" i="17" s="1"/>
  <c r="F553" i="17" a="1"/>
  <c r="F553" i="17"/>
  <c r="F554" i="17" a="1"/>
  <c r="F554" i="17" s="1"/>
  <c r="F555" i="17" a="1"/>
  <c r="F555" i="17" s="1"/>
  <c r="F556" i="17" a="1"/>
  <c r="F556" i="17" s="1"/>
  <c r="F557" i="17" a="1"/>
  <c r="F557" i="17"/>
  <c r="F558" i="17" a="1"/>
  <c r="F558" i="17"/>
  <c r="F559" i="17" a="1"/>
  <c r="F559" i="17" s="1"/>
  <c r="F560" i="17" a="1"/>
  <c r="F560" i="17" s="1"/>
  <c r="F561" i="17" a="1"/>
  <c r="F561" i="17"/>
  <c r="F562" i="17" a="1"/>
  <c r="F562" i="17"/>
  <c r="F563" i="17" a="1"/>
  <c r="F563" i="17"/>
  <c r="F564" i="17" a="1"/>
  <c r="F564" i="17" s="1"/>
  <c r="F565" i="17" a="1"/>
  <c r="F565" i="17" s="1"/>
  <c r="F566" i="17" a="1"/>
  <c r="F566" i="17"/>
  <c r="F567" i="17" a="1"/>
  <c r="F567" i="17"/>
  <c r="F568" i="17" a="1"/>
  <c r="F568" i="17" s="1"/>
  <c r="F569" i="17" a="1"/>
  <c r="F569" i="17" s="1"/>
  <c r="F570" i="17" a="1"/>
  <c r="F570" i="17" s="1"/>
  <c r="F571" i="17" a="1"/>
  <c r="F571" i="17" s="1"/>
  <c r="F572" i="17" a="1"/>
  <c r="F572" i="17" s="1"/>
  <c r="F573" i="17" a="1"/>
  <c r="F573" i="17"/>
  <c r="F574" i="17" a="1"/>
  <c r="F574" i="17" s="1"/>
  <c r="F575" i="17" a="1"/>
  <c r="F575" i="17" s="1"/>
  <c r="F576" i="17" a="1"/>
  <c r="F576" i="17" s="1"/>
  <c r="F577" i="17" a="1"/>
  <c r="F577" i="17"/>
  <c r="F578" i="17" a="1"/>
  <c r="F578" i="17" s="1"/>
  <c r="F579" i="17" a="1"/>
  <c r="F579" i="17"/>
  <c r="F580" i="17" a="1"/>
  <c r="F580" i="17" s="1"/>
  <c r="F581" i="17" a="1"/>
  <c r="F581" i="17" s="1"/>
  <c r="F582" i="17" a="1"/>
  <c r="F582" i="17"/>
  <c r="F583" i="17" a="1"/>
  <c r="F583" i="17" s="1"/>
  <c r="F584" i="17" a="1"/>
  <c r="F584" i="17" s="1"/>
  <c r="F585" i="17" a="1"/>
  <c r="F585" i="17"/>
  <c r="F586" i="17" a="1"/>
  <c r="F586" i="17" s="1"/>
  <c r="F587" i="17" a="1"/>
  <c r="F587" i="17" s="1"/>
  <c r="F588" i="17" a="1"/>
  <c r="F588" i="17" s="1"/>
  <c r="F589" i="17" a="1"/>
  <c r="F589" i="17"/>
  <c r="F590" i="17" a="1"/>
  <c r="F590" i="17"/>
  <c r="F591" i="17" a="1"/>
  <c r="F591" i="17" s="1"/>
  <c r="F592" i="17" a="1"/>
  <c r="F592" i="17" s="1"/>
  <c r="F593" i="17" a="1"/>
  <c r="F593" i="17"/>
  <c r="F594" i="17" a="1"/>
  <c r="F594" i="17"/>
  <c r="F595" i="17" a="1"/>
  <c r="F595" i="17" s="1"/>
  <c r="F596" i="17" a="1"/>
  <c r="F596" i="17" s="1"/>
  <c r="F597" i="17" a="1"/>
  <c r="F597" i="17"/>
  <c r="F598" i="17" a="1"/>
  <c r="F598" i="17"/>
  <c r="F599" i="17" a="1"/>
  <c r="F599" i="17"/>
  <c r="F600" i="17" a="1"/>
  <c r="F600" i="17" s="1"/>
  <c r="F601" i="17" a="1"/>
  <c r="F601" i="17" s="1"/>
  <c r="F602" i="17" a="1"/>
  <c r="F602" i="17"/>
  <c r="F603" i="17" a="1"/>
  <c r="F603" i="17"/>
  <c r="F604" i="17" a="1"/>
  <c r="F604" i="17" s="1"/>
  <c r="F605" i="17" a="1"/>
  <c r="F605" i="17" s="1"/>
  <c r="F606" i="17" a="1"/>
  <c r="F606" i="17"/>
  <c r="F607" i="17" a="1"/>
  <c r="F607" i="17"/>
  <c r="F608" i="17" a="1"/>
  <c r="F608" i="17" s="1"/>
  <c r="F609" i="17" a="1"/>
  <c r="F609" i="17" s="1"/>
  <c r="F610" i="17" a="1"/>
  <c r="F610" i="17" s="1"/>
  <c r="F611" i="17" a="1"/>
  <c r="F611" i="17"/>
  <c r="F612" i="17" a="1"/>
  <c r="F612" i="17" s="1"/>
  <c r="F613" i="17" a="1"/>
  <c r="F613" i="17"/>
  <c r="F614" i="17" a="1"/>
  <c r="F614" i="17" s="1"/>
  <c r="F615" i="17" a="1"/>
  <c r="F615" i="17"/>
  <c r="F616" i="17" a="1"/>
  <c r="F616" i="17" s="1"/>
  <c r="F617" i="17" a="1"/>
  <c r="F617" i="17"/>
  <c r="F618" i="17" a="1"/>
  <c r="F618" i="17" s="1"/>
  <c r="F619" i="17" a="1"/>
  <c r="F619" i="17" s="1"/>
  <c r="F620" i="17" a="1"/>
  <c r="F620" i="17" s="1"/>
  <c r="F621" i="17" a="1"/>
  <c r="F621" i="17"/>
  <c r="F622" i="17" a="1"/>
  <c r="F622" i="17"/>
  <c r="F623" i="17" a="1"/>
  <c r="F623" i="17" s="1"/>
  <c r="F624" i="17" a="1"/>
  <c r="F624" i="17" s="1"/>
  <c r="F625" i="17" a="1"/>
  <c r="F625" i="17"/>
  <c r="F626" i="17" a="1"/>
  <c r="F626" i="17"/>
  <c r="F627" i="17" a="1"/>
  <c r="F627" i="17" s="1"/>
  <c r="F628" i="17" a="1"/>
  <c r="F628" i="17" s="1"/>
  <c r="F629" i="17" a="1"/>
  <c r="F629" i="17"/>
  <c r="F630" i="17" a="1"/>
  <c r="F630" i="17"/>
  <c r="F631" i="17" a="1"/>
  <c r="F631" i="17"/>
  <c r="F632" i="17" a="1"/>
  <c r="F632" i="17" s="1"/>
  <c r="F633" i="17" a="1"/>
  <c r="F633" i="17" s="1"/>
  <c r="F634" i="17" a="1"/>
  <c r="F634" i="17"/>
  <c r="F635" i="17" a="1"/>
  <c r="F635" i="17" s="1"/>
  <c r="F636" i="17" a="1"/>
  <c r="F636" i="17" s="1"/>
  <c r="F637" i="17" a="1"/>
  <c r="F637" i="17" s="1"/>
  <c r="F638" i="17" a="1"/>
  <c r="F638" i="17" s="1"/>
  <c r="F639" i="17" a="1"/>
  <c r="F639" i="17"/>
  <c r="F640" i="17" a="1"/>
  <c r="F640" i="17" s="1"/>
  <c r="F641" i="17" a="1"/>
  <c r="F641" i="17"/>
  <c r="F642" i="17" a="1"/>
  <c r="F642" i="17" s="1"/>
  <c r="F643" i="17" a="1"/>
  <c r="F643" i="17"/>
  <c r="F644" i="17" a="1"/>
  <c r="F644" i="17" s="1"/>
  <c r="F645" i="17" a="1"/>
  <c r="F645" i="17"/>
  <c r="F646" i="17" a="1"/>
  <c r="F646" i="17" s="1"/>
  <c r="F647" i="17" a="1"/>
  <c r="F647" i="17" s="1"/>
  <c r="F648" i="17" a="1"/>
  <c r="F648" i="17" s="1"/>
  <c r="F649" i="17" a="1"/>
  <c r="F649" i="17"/>
  <c r="F650" i="17" a="1"/>
  <c r="F650" i="17"/>
  <c r="F651" i="17" a="1"/>
  <c r="F651" i="17" s="1"/>
  <c r="F652" i="17" a="1"/>
  <c r="F652" i="17" s="1"/>
  <c r="F653" i="17" a="1"/>
  <c r="F653" i="17"/>
  <c r="F654" i="17" a="1"/>
  <c r="F654" i="17"/>
  <c r="F655" i="17" a="1"/>
  <c r="F655" i="17" s="1"/>
  <c r="F656" i="17" a="1"/>
  <c r="F656" i="17" s="1"/>
  <c r="F657" i="17" a="1"/>
  <c r="F657" i="17"/>
  <c r="F658" i="17" a="1"/>
  <c r="F658" i="17"/>
  <c r="F659" i="17" a="1"/>
  <c r="F659" i="17"/>
  <c r="F660" i="17" a="1"/>
  <c r="F660" i="17" s="1"/>
  <c r="F661" i="17" a="1"/>
  <c r="F661" i="17" s="1"/>
  <c r="F662" i="17" a="1"/>
  <c r="F662" i="17"/>
  <c r="F663" i="17" a="1"/>
  <c r="F663" i="17"/>
  <c r="F664" i="17" a="1"/>
  <c r="F664" i="17" s="1"/>
  <c r="F665" i="17" a="1"/>
  <c r="F665" i="17" s="1"/>
  <c r="F666" i="17" a="1"/>
  <c r="F666" i="17"/>
  <c r="F667" i="17" a="1"/>
  <c r="F667" i="17"/>
  <c r="F668" i="17" a="1"/>
  <c r="F668" i="17" s="1"/>
  <c r="F669" i="17" a="1"/>
  <c r="F669" i="17" s="1"/>
  <c r="F670" i="17" a="1"/>
  <c r="F670" i="17" s="1"/>
  <c r="F671" i="17" a="1"/>
  <c r="F671" i="17"/>
  <c r="F672" i="17" a="1"/>
  <c r="F672" i="17" s="1"/>
  <c r="F673" i="17" a="1"/>
  <c r="F673" i="17"/>
  <c r="F674" i="17" a="1"/>
  <c r="F674" i="17" s="1"/>
  <c r="F675" i="17" a="1"/>
  <c r="F675" i="17"/>
  <c r="F676" i="17" a="1"/>
  <c r="F676" i="17" s="1"/>
  <c r="F677" i="17" a="1"/>
  <c r="F677" i="17"/>
  <c r="F678" i="17" a="1"/>
  <c r="F678" i="17" s="1"/>
  <c r="F679" i="17" a="1"/>
  <c r="F679" i="17" s="1"/>
  <c r="F680" i="17" a="1"/>
  <c r="F680" i="17" s="1"/>
  <c r="F681" i="17" a="1"/>
  <c r="F681" i="17"/>
  <c r="F682" i="17" a="1"/>
  <c r="F682" i="17"/>
  <c r="F683" i="17" a="1"/>
  <c r="F683" i="17" s="1"/>
  <c r="F684" i="17" a="1"/>
  <c r="F684" i="17" s="1"/>
  <c r="F685" i="17" a="1"/>
  <c r="F685" i="17"/>
  <c r="F686" i="17" a="1"/>
  <c r="F686" i="17"/>
  <c r="F687" i="17" a="1"/>
  <c r="F687" i="17" s="1"/>
  <c r="F688" i="17" a="1"/>
  <c r="F688" i="17" s="1"/>
  <c r="F689" i="17" a="1"/>
  <c r="F689" i="17"/>
  <c r="F690" i="17" a="1"/>
  <c r="F690" i="17"/>
  <c r="F691" i="17" a="1"/>
  <c r="F691" i="17"/>
  <c r="F692" i="17" a="1"/>
  <c r="F692" i="17" s="1"/>
  <c r="F693" i="17" a="1"/>
  <c r="F693" i="17" s="1"/>
  <c r="F694" i="17" a="1"/>
  <c r="F694" i="17"/>
  <c r="F695" i="17" a="1"/>
  <c r="F695" i="17"/>
  <c r="F696" i="17" a="1"/>
  <c r="F696" i="17" s="1"/>
  <c r="F697" i="17" a="1"/>
  <c r="F697" i="17" s="1"/>
  <c r="F698" i="17" a="1"/>
  <c r="F698" i="17"/>
  <c r="F699" i="17" a="1"/>
  <c r="F699" i="17"/>
  <c r="F700" i="17" a="1"/>
  <c r="F700" i="17" s="1"/>
  <c r="F701" i="17" a="1"/>
  <c r="F701" i="17" s="1"/>
  <c r="F702" i="17" a="1"/>
  <c r="F702" i="17" s="1"/>
  <c r="F703" i="17" a="1"/>
  <c r="F703" i="17"/>
  <c r="F704" i="17" a="1"/>
  <c r="F704" i="17" s="1"/>
  <c r="F705" i="17" a="1"/>
  <c r="F705" i="17"/>
  <c r="F706" i="17" a="1"/>
  <c r="F706" i="17" s="1"/>
  <c r="F707" i="17" a="1"/>
  <c r="F707" i="17"/>
  <c r="F708" i="17" a="1"/>
  <c r="F708" i="17" s="1"/>
  <c r="F709" i="17" a="1"/>
  <c r="F709" i="17"/>
  <c r="F710" i="17" a="1"/>
  <c r="F710" i="17" s="1"/>
  <c r="F711" i="17" a="1"/>
  <c r="F711" i="17" s="1"/>
  <c r="F712" i="17" a="1"/>
  <c r="F712" i="17" s="1"/>
  <c r="F713" i="17" a="1"/>
  <c r="F713" i="17"/>
  <c r="F714" i="17" a="1"/>
  <c r="F714" i="17"/>
  <c r="F715" i="17" a="1"/>
  <c r="F715" i="17" s="1"/>
  <c r="F716" i="17" a="1"/>
  <c r="F716" i="17" s="1"/>
  <c r="F717" i="17" a="1"/>
  <c r="F717" i="17"/>
  <c r="F718" i="17" a="1"/>
  <c r="F718" i="17"/>
  <c r="F719" i="17" a="1"/>
  <c r="F719" i="17" s="1"/>
  <c r="F720" i="17" a="1"/>
  <c r="F720" i="17" s="1"/>
  <c r="F721" i="17" a="1"/>
  <c r="F721" i="17"/>
  <c r="F722" i="17" a="1"/>
  <c r="F722" i="17"/>
  <c r="F723" i="17" a="1"/>
  <c r="F723" i="17"/>
  <c r="F724" i="17" a="1"/>
  <c r="F724" i="17" s="1"/>
  <c r="F725" i="17" a="1"/>
  <c r="F725" i="17" s="1"/>
  <c r="F726" i="17" a="1"/>
  <c r="F726" i="17"/>
  <c r="F727" i="17" a="1"/>
  <c r="F727" i="17"/>
  <c r="F728" i="17" a="1"/>
  <c r="F728" i="17" s="1"/>
  <c r="F729" i="17" a="1"/>
  <c r="F729" i="17" s="1"/>
  <c r="F730" i="17" a="1"/>
  <c r="F730" i="17"/>
  <c r="F731" i="17" a="1"/>
  <c r="F731" i="17"/>
  <c r="F732" i="17" a="1"/>
  <c r="F732" i="17" s="1"/>
  <c r="F733" i="17" a="1"/>
  <c r="F733" i="17" s="1"/>
  <c r="F734" i="17" a="1"/>
  <c r="F734" i="17" s="1"/>
  <c r="F735" i="17" a="1"/>
  <c r="F735" i="17"/>
  <c r="F736" i="17" a="1"/>
  <c r="F736" i="17" s="1"/>
  <c r="F737" i="17" a="1"/>
  <c r="F737" i="17"/>
  <c r="F738" i="17" a="1"/>
  <c r="F738" i="17" s="1"/>
  <c r="F739" i="17" a="1"/>
  <c r="F739" i="17"/>
  <c r="F740" i="17" a="1"/>
  <c r="F740" i="17" s="1"/>
  <c r="F741" i="17" a="1"/>
  <c r="F741" i="17"/>
  <c r="F742" i="17" a="1"/>
  <c r="F742" i="17" s="1"/>
  <c r="F743" i="17" a="1"/>
  <c r="F743" i="17" s="1"/>
  <c r="F744" i="17" a="1"/>
  <c r="F744" i="17" s="1"/>
  <c r="F745" i="17" a="1"/>
  <c r="F745" i="17"/>
  <c r="F746" i="17" a="1"/>
  <c r="F746" i="17"/>
  <c r="F747" i="17" a="1"/>
  <c r="F747" i="17" s="1"/>
  <c r="F748" i="17" a="1"/>
  <c r="F748" i="17" s="1"/>
  <c r="F749" i="17" a="1"/>
  <c r="F749" i="17"/>
  <c r="F750" i="17" a="1"/>
  <c r="F750" i="17"/>
  <c r="F751" i="17" a="1"/>
  <c r="F751" i="17" s="1"/>
  <c r="F752" i="17" a="1"/>
  <c r="F752" i="17" s="1"/>
  <c r="F753" i="17" a="1"/>
  <c r="F753" i="17"/>
  <c r="F754" i="17" a="1"/>
  <c r="F754" i="17"/>
  <c r="F755" i="17" a="1"/>
  <c r="F755" i="17"/>
  <c r="F756" i="17" a="1"/>
  <c r="F756" i="17" s="1"/>
  <c r="F757" i="17" a="1"/>
  <c r="F757" i="17" s="1"/>
  <c r="F758" i="17" a="1"/>
  <c r="F758" i="17"/>
  <c r="F759" i="17" a="1"/>
  <c r="F759" i="17"/>
  <c r="F760" i="17" a="1"/>
  <c r="F760" i="17" s="1"/>
  <c r="F761" i="17" a="1"/>
  <c r="F761" i="17" s="1"/>
  <c r="F762" i="17" a="1"/>
  <c r="F762" i="17"/>
  <c r="F763" i="17" a="1"/>
  <c r="F763" i="17"/>
  <c r="F764" i="17" a="1"/>
  <c r="F764" i="17" s="1"/>
  <c r="F765" i="17" a="1"/>
  <c r="F765" i="17" s="1"/>
  <c r="F766" i="17" a="1"/>
  <c r="F766" i="17" s="1"/>
  <c r="F767" i="17" a="1"/>
  <c r="F767" i="17"/>
  <c r="F768" i="17" a="1"/>
  <c r="F768" i="17" s="1"/>
  <c r="F769" i="17" a="1"/>
  <c r="F769" i="17"/>
  <c r="F770" i="17" a="1"/>
  <c r="F770" i="17" s="1"/>
  <c r="F771" i="17" a="1"/>
  <c r="F771" i="17"/>
  <c r="F772" i="17" a="1"/>
  <c r="F772" i="17" s="1"/>
  <c r="F773" i="17" a="1"/>
  <c r="F773" i="17" s="1"/>
  <c r="F774" i="17" a="1"/>
  <c r="F774" i="17"/>
  <c r="F775" i="17" a="1"/>
  <c r="F775" i="17" s="1"/>
  <c r="F776" i="17" a="1"/>
  <c r="F776" i="17" s="1"/>
  <c r="F777" i="17" a="1"/>
  <c r="F777" i="17" s="1"/>
  <c r="F778" i="17" a="1"/>
  <c r="F778" i="17"/>
  <c r="F779" i="17" a="1"/>
  <c r="F779" i="17"/>
  <c r="F780" i="17" a="1"/>
  <c r="F780" i="17" s="1"/>
  <c r="F781" i="17" a="1"/>
  <c r="F781" i="17" s="1"/>
  <c r="F782" i="17" a="1"/>
  <c r="F782" i="17"/>
  <c r="F783" i="17" a="1"/>
  <c r="F783" i="17"/>
  <c r="F784" i="17" a="1"/>
  <c r="F784" i="17" s="1"/>
  <c r="F785" i="17" a="1"/>
  <c r="F785" i="17" s="1"/>
  <c r="F786" i="17" a="1"/>
  <c r="F786" i="17" s="1"/>
  <c r="F787" i="17" a="1"/>
  <c r="F787" i="17"/>
  <c r="F788" i="17" a="1"/>
  <c r="F788" i="17" s="1"/>
  <c r="F789" i="17" a="1"/>
  <c r="F789" i="17" s="1"/>
  <c r="F790" i="17" a="1"/>
  <c r="F790" i="17"/>
  <c r="F791" i="17" a="1"/>
  <c r="F791" i="17" s="1"/>
  <c r="F792" i="17" a="1"/>
  <c r="F792" i="17" s="1"/>
  <c r="F793" i="17" a="1"/>
  <c r="F793" i="17" s="1"/>
  <c r="F794" i="17" a="1"/>
  <c r="F794" i="17"/>
  <c r="F795" i="17" a="1"/>
  <c r="F795" i="17"/>
  <c r="F796" i="17" a="1"/>
  <c r="F796" i="17" s="1"/>
  <c r="F797" i="17" a="1"/>
  <c r="F797" i="17" s="1"/>
  <c r="F798" i="17" a="1"/>
  <c r="F798" i="17"/>
  <c r="F799" i="17" a="1"/>
  <c r="F799" i="17"/>
  <c r="F800" i="17" a="1"/>
  <c r="F800" i="17" s="1"/>
  <c r="F801" i="17" a="1"/>
  <c r="F801" i="17" s="1"/>
  <c r="F802" i="17" a="1"/>
  <c r="F802" i="17" s="1"/>
  <c r="F803" i="17" a="1"/>
  <c r="F803" i="17"/>
  <c r="F804" i="17" a="1"/>
  <c r="F804" i="17" s="1"/>
  <c r="F805" i="17" a="1"/>
  <c r="F805" i="17" s="1"/>
  <c r="F806" i="17" a="1"/>
  <c r="F806" i="17"/>
  <c r="F807" i="17" a="1"/>
  <c r="F807" i="17" s="1"/>
  <c r="F808" i="17" a="1"/>
  <c r="F808" i="17" s="1"/>
  <c r="F809" i="17" a="1"/>
  <c r="F809" i="17" s="1"/>
  <c r="F810" i="17" a="1"/>
  <c r="F810" i="17"/>
  <c r="F811" i="17" a="1"/>
  <c r="F811" i="17"/>
  <c r="F812" i="17" a="1"/>
  <c r="F812" i="17" s="1"/>
  <c r="F813" i="17" a="1"/>
  <c r="F813" i="17" s="1"/>
  <c r="F814" i="17" a="1"/>
  <c r="F814" i="17"/>
  <c r="F815" i="17" a="1"/>
  <c r="F815" i="17"/>
  <c r="F816" i="17" a="1"/>
  <c r="F816" i="17" s="1"/>
  <c r="F817" i="17" a="1"/>
  <c r="F817" i="17" s="1"/>
  <c r="F818" i="17" a="1"/>
  <c r="F818" i="17" s="1"/>
  <c r="F819" i="17" a="1"/>
  <c r="F819" i="17"/>
  <c r="F820" i="17" a="1"/>
  <c r="F820" i="17" s="1"/>
  <c r="F821" i="17" a="1"/>
  <c r="F821" i="17" s="1"/>
  <c r="F822" i="17" a="1"/>
  <c r="F822" i="17"/>
  <c r="F823" i="17" a="1"/>
  <c r="F823" i="17" s="1"/>
  <c r="F824" i="17" a="1"/>
  <c r="F824" i="17" s="1"/>
  <c r="F825" i="17" a="1"/>
  <c r="F825" i="17" s="1"/>
  <c r="F826" i="17" a="1"/>
  <c r="F826" i="17"/>
  <c r="F827" i="17" a="1"/>
  <c r="F827" i="17"/>
  <c r="F828" i="17" a="1"/>
  <c r="F828" i="17" s="1"/>
  <c r="F829" i="17" a="1"/>
  <c r="F829" i="17" s="1"/>
  <c r="F830" i="17" a="1"/>
  <c r="F830" i="17"/>
  <c r="F831" i="17" a="1"/>
  <c r="F831" i="17"/>
  <c r="F832" i="17" a="1"/>
  <c r="F832" i="17" s="1"/>
  <c r="F833" i="17" a="1"/>
  <c r="F833" i="17" s="1"/>
  <c r="F834" i="17" a="1"/>
  <c r="F834" i="17" s="1"/>
  <c r="F835" i="17" a="1"/>
  <c r="F835" i="17"/>
  <c r="F836" i="17" a="1"/>
  <c r="F836" i="17" s="1"/>
  <c r="F837" i="17" a="1"/>
  <c r="F837" i="17" s="1"/>
  <c r="F838" i="17" a="1"/>
  <c r="F838" i="17"/>
  <c r="F839" i="17" a="1"/>
  <c r="F839" i="17" s="1"/>
  <c r="F840" i="17" a="1"/>
  <c r="F840" i="17" s="1"/>
  <c r="F841" i="17" a="1"/>
  <c r="F841" i="17" s="1"/>
  <c r="F842" i="17" a="1"/>
  <c r="F842" i="17"/>
  <c r="F843" i="17" a="1"/>
  <c r="F843" i="17"/>
  <c r="F844" i="17" a="1"/>
  <c r="F844" i="17" s="1"/>
  <c r="F845" i="17" a="1"/>
  <c r="F845" i="17" s="1"/>
  <c r="F846" i="17" a="1"/>
  <c r="F846" i="17"/>
  <c r="F847" i="17" a="1"/>
  <c r="F847" i="17"/>
  <c r="F848" i="17" a="1"/>
  <c r="F848" i="17" s="1"/>
  <c r="F849" i="17" a="1"/>
  <c r="F849" i="17" s="1"/>
  <c r="F850" i="17" a="1"/>
  <c r="F850" i="17" s="1"/>
  <c r="F851" i="17" a="1"/>
  <c r="F851" i="17"/>
  <c r="F852" i="17" a="1"/>
  <c r="F852" i="17" s="1"/>
  <c r="F853" i="17" a="1"/>
  <c r="F853" i="17" s="1"/>
  <c r="F854" i="17" a="1"/>
  <c r="F854" i="17"/>
  <c r="F855" i="17" a="1"/>
  <c r="F855" i="17" s="1"/>
  <c r="F856" i="17" a="1"/>
  <c r="F856" i="17" s="1"/>
  <c r="F857" i="17" a="1"/>
  <c r="F857" i="17" s="1"/>
  <c r="F858" i="17" a="1"/>
  <c r="F858" i="17"/>
  <c r="F859" i="17" a="1"/>
  <c r="F859" i="17"/>
  <c r="F860" i="17" a="1"/>
  <c r="F860" i="17" s="1"/>
  <c r="F861" i="17" a="1"/>
  <c r="F861" i="17" s="1"/>
  <c r="F862" i="17" a="1"/>
  <c r="F862" i="17"/>
  <c r="F863" i="17" a="1"/>
  <c r="F863" i="17"/>
  <c r="F864" i="17" a="1"/>
  <c r="F864" i="17" s="1"/>
  <c r="F865" i="17" a="1"/>
  <c r="F865" i="17" s="1"/>
  <c r="F866" i="17" a="1"/>
  <c r="F866" i="17" s="1"/>
  <c r="F867" i="17" a="1"/>
  <c r="F867" i="17"/>
  <c r="F868" i="17" a="1"/>
  <c r="F868" i="17" s="1"/>
  <c r="F869" i="17" a="1"/>
  <c r="F869" i="17" s="1"/>
  <c r="F870" i="17" a="1"/>
  <c r="F870" i="17"/>
  <c r="F871" i="17" a="1"/>
  <c r="F871" i="17" s="1"/>
  <c r="F872" i="17" a="1"/>
  <c r="F872" i="17" s="1"/>
  <c r="F873" i="17" a="1"/>
  <c r="F873" i="17" s="1"/>
  <c r="F874" i="17" a="1"/>
  <c r="F874" i="17"/>
  <c r="F875" i="17" a="1"/>
  <c r="F875" i="17"/>
  <c r="F876" i="17" a="1"/>
  <c r="F876" i="17" s="1"/>
  <c r="F877" i="17" a="1"/>
  <c r="F877" i="17" s="1"/>
  <c r="F878" i="17" a="1"/>
  <c r="F878" i="17"/>
  <c r="F879" i="17" a="1"/>
  <c r="F879" i="17"/>
  <c r="F880" i="17" a="1"/>
  <c r="F880" i="17" s="1"/>
  <c r="F881" i="17" a="1"/>
  <c r="F881" i="17" s="1"/>
  <c r="F882" i="17" a="1"/>
  <c r="F882" i="17" s="1"/>
  <c r="F883" i="17" a="1"/>
  <c r="F883" i="17"/>
  <c r="F884" i="17" a="1"/>
  <c r="F884" i="17" s="1"/>
  <c r="F885" i="17" a="1"/>
  <c r="F885" i="17" s="1"/>
  <c r="F886" i="17" a="1"/>
  <c r="F886" i="17"/>
  <c r="F887" i="17" a="1"/>
  <c r="F887" i="17" s="1"/>
  <c r="F888" i="17" a="1"/>
  <c r="F888" i="17" s="1"/>
  <c r="F889" i="17" a="1"/>
  <c r="F889" i="17" s="1"/>
  <c r="F890" i="17" a="1"/>
  <c r="F890" i="17"/>
  <c r="F891" i="17" a="1"/>
  <c r="F891" i="17"/>
  <c r="F892" i="17" a="1"/>
  <c r="F892" i="17" s="1"/>
  <c r="F893" i="17" a="1"/>
  <c r="F893" i="17" s="1"/>
  <c r="F894" i="17" a="1"/>
  <c r="F894" i="17"/>
  <c r="F895" i="17" a="1"/>
  <c r="F895" i="17"/>
  <c r="F896" i="17" a="1"/>
  <c r="F896" i="17" s="1"/>
  <c r="F897" i="17" a="1"/>
  <c r="F897" i="17" s="1"/>
  <c r="F898" i="17" a="1"/>
  <c r="F898" i="17" s="1"/>
  <c r="F899" i="17" a="1"/>
  <c r="F899" i="17"/>
  <c r="F900" i="17" a="1"/>
  <c r="F900" i="17" s="1"/>
  <c r="F901" i="17" a="1"/>
  <c r="F901" i="17" s="1"/>
  <c r="F902" i="17" a="1"/>
  <c r="F902" i="17"/>
  <c r="F903" i="17" a="1"/>
  <c r="F903" i="17" s="1"/>
  <c r="F904" i="17" a="1"/>
  <c r="F904" i="17" s="1"/>
  <c r="F905" i="17" a="1"/>
  <c r="F905" i="17" s="1"/>
  <c r="F906" i="17" a="1"/>
  <c r="F906" i="17"/>
  <c r="F907" i="17" a="1"/>
  <c r="F907" i="17"/>
  <c r="F908" i="17" a="1"/>
  <c r="F908" i="17" s="1"/>
  <c r="F909" i="17" a="1"/>
  <c r="F909" i="17" s="1"/>
  <c r="F910" i="17" a="1"/>
  <c r="F910" i="17"/>
  <c r="F911" i="17" a="1"/>
  <c r="F911" i="17"/>
  <c r="F912" i="17" a="1"/>
  <c r="F912" i="17" s="1"/>
  <c r="F913" i="17" a="1"/>
  <c r="F913" i="17" s="1"/>
  <c r="F914" i="17" a="1"/>
  <c r="F914" i="17" s="1"/>
  <c r="F915" i="17" a="1"/>
  <c r="F915" i="17"/>
  <c r="F916" i="17" a="1"/>
  <c r="F916" i="17" s="1"/>
  <c r="F917" i="17" a="1"/>
  <c r="F917" i="17" s="1"/>
  <c r="F918" i="17" a="1"/>
  <c r="F918" i="17"/>
  <c r="F919" i="17" a="1"/>
  <c r="F919" i="17" s="1"/>
  <c r="F920" i="17" a="1"/>
  <c r="F920" i="17" s="1"/>
  <c r="F921" i="17" a="1"/>
  <c r="F921" i="17" s="1"/>
  <c r="F922" i="17" a="1"/>
  <c r="F922" i="17"/>
  <c r="F923" i="17" a="1"/>
  <c r="F923" i="17"/>
  <c r="F924" i="17" a="1"/>
  <c r="F924" i="17" s="1"/>
  <c r="F925" i="17" a="1"/>
  <c r="F925" i="17" s="1"/>
  <c r="F926" i="17" a="1"/>
  <c r="F926" i="17"/>
  <c r="F927" i="17" a="1"/>
  <c r="F927" i="17"/>
  <c r="F928" i="17" a="1"/>
  <c r="F928" i="17" s="1"/>
  <c r="F929" i="17" a="1"/>
  <c r="F929" i="17" s="1"/>
  <c r="F930" i="17" a="1"/>
  <c r="F930" i="17" s="1"/>
  <c r="F931" i="17" a="1"/>
  <c r="F931" i="17"/>
  <c r="F932" i="17" a="1"/>
  <c r="F932" i="17" s="1"/>
  <c r="F933" i="17" a="1"/>
  <c r="F933" i="17" s="1"/>
  <c r="F934" i="17" a="1"/>
  <c r="F934" i="17"/>
  <c r="F935" i="17" a="1"/>
  <c r="F935" i="17" s="1"/>
  <c r="F936" i="17" a="1"/>
  <c r="F936" i="17" s="1"/>
  <c r="F937" i="17" a="1"/>
  <c r="F937" i="17" s="1"/>
  <c r="F938" i="17" a="1"/>
  <c r="F938" i="17"/>
  <c r="F939" i="17" a="1"/>
  <c r="F939" i="17"/>
  <c r="F940" i="17" a="1"/>
  <c r="F940" i="17" s="1"/>
  <c r="F941" i="17" a="1"/>
  <c r="F941" i="17" s="1"/>
  <c r="F942" i="17" a="1"/>
  <c r="F942" i="17"/>
  <c r="F943" i="17" a="1"/>
  <c r="F943" i="17"/>
  <c r="F944" i="17" a="1"/>
  <c r="F944" i="17" s="1"/>
  <c r="F945" i="17" a="1"/>
  <c r="F945" i="17" s="1"/>
  <c r="F946" i="17" a="1"/>
  <c r="F946" i="17" s="1"/>
  <c r="F947" i="17" a="1"/>
  <c r="F947" i="17"/>
  <c r="F948" i="17" a="1"/>
  <c r="F948" i="17" s="1"/>
  <c r="F949" i="17" a="1"/>
  <c r="F949" i="17" s="1"/>
  <c r="F950" i="17" a="1"/>
  <c r="F950" i="17"/>
  <c r="F951" i="17" a="1"/>
  <c r="F951" i="17" s="1"/>
  <c r="F952" i="17" a="1"/>
  <c r="F952" i="17" s="1"/>
  <c r="F953" i="17" a="1"/>
  <c r="F953" i="17" s="1"/>
  <c r="F954" i="17" a="1"/>
  <c r="F954" i="17"/>
  <c r="F955" i="17" a="1"/>
  <c r="F955" i="17"/>
  <c r="F956" i="17" a="1"/>
  <c r="F956" i="17" s="1"/>
  <c r="F957" i="17" a="1"/>
  <c r="F957" i="17" s="1"/>
  <c r="F958" i="17" a="1"/>
  <c r="F958" i="17"/>
  <c r="F959" i="17" a="1"/>
  <c r="F959" i="17"/>
  <c r="F960" i="17" a="1"/>
  <c r="F960" i="17" s="1"/>
  <c r="F961" i="17" a="1"/>
  <c r="F961" i="17" s="1"/>
  <c r="F962" i="17" a="1"/>
  <c r="F962" i="17" s="1"/>
  <c r="F963" i="17" a="1"/>
  <c r="F963" i="17"/>
  <c r="F964" i="17" a="1"/>
  <c r="F964" i="17" s="1"/>
  <c r="F965" i="17" a="1"/>
  <c r="F965" i="17" s="1"/>
  <c r="F966" i="17" a="1"/>
  <c r="F966" i="17"/>
  <c r="F967" i="17" a="1"/>
  <c r="F967" i="17" s="1"/>
  <c r="F968" i="17" a="1"/>
  <c r="F968" i="17" s="1"/>
  <c r="F969" i="17" a="1"/>
  <c r="F969" i="17" s="1"/>
  <c r="F970" i="17" a="1"/>
  <c r="F970" i="17"/>
  <c r="F971" i="17" a="1"/>
  <c r="F971" i="17"/>
  <c r="F972" i="17" a="1"/>
  <c r="F972" i="17" s="1"/>
  <c r="F973" i="17" a="1"/>
  <c r="F973" i="17" s="1"/>
  <c r="F974" i="17" a="1"/>
  <c r="F974" i="17"/>
  <c r="F975" i="17" a="1"/>
  <c r="F975" i="17"/>
  <c r="F976" i="17" a="1"/>
  <c r="F976" i="17" s="1"/>
  <c r="F977" i="17" a="1"/>
  <c r="F977" i="17" s="1"/>
  <c r="F978" i="17" a="1"/>
  <c r="F978" i="17" s="1"/>
  <c r="F979" i="17" a="1"/>
  <c r="F979" i="17"/>
  <c r="F980" i="17" a="1"/>
  <c r="F980" i="17" s="1"/>
  <c r="F981" i="17" a="1"/>
  <c r="F981" i="17" s="1"/>
  <c r="F982" i="17" a="1"/>
  <c r="F982" i="17"/>
  <c r="F983" i="17" a="1"/>
  <c r="F983" i="17" s="1"/>
  <c r="F984" i="17" a="1"/>
  <c r="F984" i="17" s="1"/>
  <c r="F985" i="17" a="1"/>
  <c r="F985" i="17" s="1"/>
  <c r="F986" i="17" a="1"/>
  <c r="F986" i="17"/>
  <c r="F987" i="17" a="1"/>
  <c r="F987" i="17"/>
  <c r="F988" i="17" a="1"/>
  <c r="F988" i="17" s="1"/>
  <c r="F989" i="17" a="1"/>
  <c r="F989" i="17" s="1"/>
  <c r="F990" i="17" a="1"/>
  <c r="F990" i="17"/>
  <c r="F991" i="17" a="1"/>
  <c r="F991" i="17"/>
  <c r="F992" i="17" a="1"/>
  <c r="F992" i="17" s="1"/>
  <c r="F993" i="17" a="1"/>
  <c r="F993" i="17" s="1"/>
  <c r="F994" i="17" a="1"/>
  <c r="F994" i="17" s="1"/>
  <c r="F995" i="17" a="1"/>
  <c r="F995" i="17"/>
  <c r="F996" i="17" a="1"/>
  <c r="F996" i="17" s="1"/>
  <c r="F997" i="17" a="1"/>
  <c r="F997" i="17" s="1"/>
  <c r="F998" i="17" a="1"/>
  <c r="F998" i="17"/>
  <c r="F999" i="17" a="1"/>
  <c r="F999" i="17" s="1"/>
  <c r="F1000" i="17" a="1"/>
  <c r="F1000" i="17" s="1"/>
  <c r="F1001" i="17" a="1"/>
  <c r="F1001" i="17" s="1"/>
  <c r="F3" i="17" a="1"/>
  <c r="F3" i="17" s="1"/>
  <c r="F4" i="17" a="1"/>
  <c r="F4" i="17" s="1"/>
  <c r="F5" i="17" a="1"/>
  <c r="F5" i="17" s="1"/>
  <c r="F6" i="17" a="1"/>
  <c r="F6" i="17" s="1"/>
  <c r="F7" i="17" a="1"/>
  <c r="F7" i="17" s="1"/>
  <c r="F8" i="17" a="1"/>
  <c r="F8" i="17" s="1"/>
  <c r="F2" i="17" a="1"/>
  <c r="F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<sst xmlns="http://schemas.openxmlformats.org/spreadsheetml/2006/main" count="11111" uniqueCount="6224">
  <si>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</si>
  <si>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</si>
  <si>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</si>
  <si>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</si>
  <si>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</si>
  <si>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</si>
  <si>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</si>
  <si>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</si>
  <si>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</si>
  <si>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</si>
  <si>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</si>
  <si>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</si>
  <si>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</si>
  <si>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</si>
  <si>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</si>
  <si>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</si>
  <si>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</si>
  <si>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</si>
  <si>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</si>
  <si>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</si>
  <si>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</si>
  <si>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</si>
  <si>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</si>
  <si>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</si>
  <si>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</si>
  <si>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</si>
  <si>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</si>
  <si>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</si>
  <si>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</si>
  <si>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</si>
  <si>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</si>
  <si>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</si>
  <si>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</si>
  <si>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</si>
  <si>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</si>
  <si>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</si>
  <si>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</si>
  <si>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</si>
  <si>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</si>
  <si>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</si>
  <si>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</si>
  <si>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</si>
  <si>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</si>
  <si>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</si>
  <si>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</si>
  <si>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</si>
  <si>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</si>
  <si>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</si>
  <si>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</si>
  <si>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</si>
  <si>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</si>
  <si>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</si>
  <si>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</si>
  <si>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</si>
  <si>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</si>
  <si>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</si>
  <si>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</si>
  <si>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</si>
  <si>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</si>
  <si>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</si>
  <si>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</si>
  <si>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</si>
  <si>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</si>
  <si>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</si>
  <si>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</si>
  <si>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</si>
  <si>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</si>
  <si>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</si>
  <si>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</si>
  <si>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</si>
  <si>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</si>
  <si>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</si>
  <si>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</si>
  <si>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</si>
  <si>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</si>
  <si>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</si>
  <si>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</si>
  <si>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</si>
  <si>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</si>
  <si>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</si>
  <si>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</si>
  <si>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</si>
  <si>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</si>
  <si>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</si>
  <si>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</si>
  <si>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</si>
  <si>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</si>
  <si>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</si>
  <si>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</si>
  <si>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</si>
  <si>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</si>
  <si>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</si>
  <si>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</si>
  <si>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</si>
  <si>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</si>
  <si>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</si>
  <si>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</si>
  <si>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</si>
  <si>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</si>
  <si>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</si>
  <si>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</si>
  <si>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</si>
  <si>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</si>
  <si>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</si>
  <si>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</si>
  <si>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</si>
  <si>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</si>
  <si>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</si>
  <si>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</si>
  <si>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</si>
  <si>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</si>
  <si>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</si>
  <si>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</si>
  <si>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</si>
  <si>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</si>
  <si>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</si>
  <si>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</si>
  <si>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</si>
  <si>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</si>
  <si>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</si>
  <si>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</si>
  <si>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</si>
  <si>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</si>
  <si>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</si>
  <si>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</si>
  <si>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</si>
  <si>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</si>
  <si>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</si>
  <si>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</si>
  <si>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</si>
  <si>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</si>
  <si>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</si>
  <si>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</si>
  <si>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</si>
  <si>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</si>
  <si>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</si>
  <si>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</si>
  <si>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</si>
  <si>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</si>
  <si>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</si>
  <si>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</si>
  <si>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</si>
  <si>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</si>
  <si>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</si>
  <si>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</si>
  <si>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</si>
  <si>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</si>
  <si>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</si>
  <si>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</si>
  <si>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</si>
  <si>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</si>
  <si>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</si>
  <si>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</si>
  <si>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</si>
  <si>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</si>
  <si>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</si>
  <si>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</si>
  <si>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</si>
  <si>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</si>
  <si>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</si>
  <si>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</si>
  <si>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</si>
  <si>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</si>
  <si>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</si>
  <si>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</si>
  <si>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</si>
  <si>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</si>
  <si>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</si>
  <si>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</si>
  <si>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</si>
  <si>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</si>
  <si>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</si>
  <si>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</si>
  <si>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</si>
  <si>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</si>
  <si>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</si>
  <si>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</si>
  <si>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</si>
  <si>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</si>
  <si>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</si>
  <si>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</si>
  <si>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</si>
  <si>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</si>
  <si>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</si>
  <si>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</si>
  <si>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</si>
  <si>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</si>
  <si>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</si>
  <si>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</si>
  <si>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</si>
  <si>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</si>
  <si>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</si>
  <si>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</si>
  <si>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</si>
  <si>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</si>
  <si>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</si>
  <si>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</si>
  <si>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</si>
  <si>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</si>
  <si>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</si>
  <si>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</si>
  <si>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</si>
  <si>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</si>
  <si>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</si>
  <si>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</si>
  <si>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</si>
  <si>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</si>
  <si>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</si>
  <si>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</si>
  <si>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</si>
  <si>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</si>
  <si>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</si>
  <si>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</si>
  <si>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</si>
  <si>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</si>
  <si>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</si>
  <si>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</si>
  <si>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</si>
  <si>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</si>
  <si>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</si>
  <si>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</si>
  <si>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</si>
  <si>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</si>
  <si>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</si>
  <si>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</si>
  <si>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</si>
  <si>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</si>
  <si>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</si>
  <si>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</si>
  <si>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</si>
  <si>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</si>
  <si>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</si>
  <si>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</si>
  <si>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</si>
  <si>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</si>
  <si>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</si>
  <si>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</si>
  <si>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</si>
  <si>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</si>
  <si>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</si>
  <si>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</si>
  <si>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</si>
  <si>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</si>
  <si>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</si>
  <si>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</si>
  <si>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</si>
  <si>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</si>
  <si>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</si>
  <si>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</si>
  <si>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</si>
  <si>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</si>
  <si>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</si>
  <si>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</si>
  <si>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</si>
  <si>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</si>
  <si>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</si>
  <si>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</si>
  <si>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</si>
  <si>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</si>
  <si>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</si>
  <si>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</si>
  <si>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</si>
  <si>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</si>
  <si>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</si>
  <si>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</si>
  <si>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</si>
  <si>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</si>
  <si>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</si>
  <si>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</si>
  <si>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</si>
  <si>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</si>
  <si>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</si>
  <si>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</si>
  <si>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</si>
  <si>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</si>
  <si>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</si>
  <si>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</si>
  <si>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</si>
  <si>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</si>
  <si>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</si>
  <si>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</si>
  <si>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</si>
  <si>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</si>
  <si>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</si>
  <si>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</si>
  <si>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</si>
  <si>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</si>
  <si>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</si>
  <si>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</si>
  <si>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</si>
  <si>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</si>
  <si>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</si>
  <si>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</si>
  <si>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</si>
  <si>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</si>
  <si>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</si>
  <si>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</si>
  <si>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</si>
  <si>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</si>
  <si>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</si>
  <si>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</si>
  <si>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</si>
  <si>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</si>
  <si>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</si>
  <si>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</si>
  <si>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</si>
  <si>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</si>
  <si>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</si>
  <si>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</si>
  <si>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</si>
  <si>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</si>
  <si>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</si>
  <si>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</si>
  <si>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</si>
  <si>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</si>
  <si>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</si>
  <si>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</si>
  <si>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</si>
  <si>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</si>
  <si>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</si>
  <si>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</si>
  <si>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</si>
  <si>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</si>
  <si>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</si>
  <si>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</si>
  <si>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</si>
  <si>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</si>
  <si>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</si>
  <si>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</si>
  <si>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</si>
  <si>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</si>
  <si>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</si>
  <si>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</si>
  <si>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</si>
  <si>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</si>
  <si>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</si>
  <si>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</si>
  <si>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</si>
  <si>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</si>
  <si>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</si>
  <si>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</si>
  <si>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</si>
  <si>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</si>
  <si>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</si>
  <si>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</si>
  <si>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</si>
  <si>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</si>
  <si>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</si>
  <si>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</si>
  <si>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</si>
  <si>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</si>
  <si>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</si>
  <si>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</si>
  <si>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</si>
  <si>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</si>
  <si>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</si>
  <si>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</si>
  <si>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</si>
  <si>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</si>
  <si>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</si>
  <si>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</si>
  <si>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</si>
  <si>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</si>
  <si>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</si>
  <si>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</si>
  <si>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</si>
  <si>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</si>
  <si>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</si>
  <si>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</si>
  <si>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</si>
  <si>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</si>
  <si>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</si>
  <si>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</si>
  <si>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</si>
  <si>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</si>
  <si>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</si>
  <si>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</si>
  <si>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</si>
  <si>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</si>
  <si>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</si>
  <si>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</si>
  <si>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</si>
  <si>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</si>
  <si>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</si>
  <si>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</si>
  <si>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</si>
  <si>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</si>
  <si>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</si>
  <si>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</si>
  <si>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</si>
  <si>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</si>
  <si>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</si>
  <si>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</si>
  <si>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</si>
  <si>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</si>
  <si>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</si>
  <si>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</si>
  <si>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</si>
  <si>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</si>
  <si>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</si>
  <si>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</si>
  <si>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</si>
  <si>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</si>
  <si>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</si>
  <si>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</si>
  <si>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</si>
  <si>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</si>
  <si>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</si>
  <si>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</si>
  <si>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</si>
  <si>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</si>
  <si>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</si>
  <si>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</si>
  <si>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</si>
  <si>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</si>
  <si>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</si>
  <si>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</si>
  <si>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</si>
  <si>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</si>
  <si>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</si>
  <si>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</si>
  <si>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</si>
  <si>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</si>
  <si>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</si>
  <si>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</si>
  <si>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</si>
  <si>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</si>
  <si>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</si>
  <si>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</si>
  <si>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</si>
  <si>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</si>
  <si>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</si>
  <si>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</si>
  <si>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</si>
  <si>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</si>
  <si>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</si>
  <si>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</si>
  <si>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</si>
  <si>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</si>
  <si>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</si>
  <si>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</si>
  <si>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</si>
  <si>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</si>
  <si>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</si>
  <si>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</si>
  <si>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</si>
  <si>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</si>
  <si>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</si>
  <si>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</si>
  <si>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</si>
  <si>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</si>
  <si>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</si>
  <si>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</si>
  <si>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</si>
  <si>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</si>
  <si>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</si>
  <si>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</si>
  <si>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</si>
  <si>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</si>
  <si>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</si>
  <si>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</si>
  <si>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</si>
  <si>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</si>
  <si>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</si>
  <si>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</si>
  <si>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</si>
  <si>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</si>
  <si>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</si>
  <si>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</si>
  <si>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</si>
  <si>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</si>
  <si>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</si>
  <si>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</si>
  <si>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</si>
  <si>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</si>
  <si>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</si>
  <si>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</si>
  <si>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</si>
  <si>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</si>
  <si>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</si>
  <si>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</si>
  <si>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</si>
  <si>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</si>
  <si>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</si>
  <si>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</si>
  <si>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</si>
  <si>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</si>
  <si>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</si>
  <si>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</si>
  <si>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</si>
  <si>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</si>
  <si>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</si>
  <si>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</si>
  <si>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</si>
  <si>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</si>
  <si>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</si>
  <si>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</si>
  <si>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</si>
  <si>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</si>
  <si>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</si>
  <si>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</si>
  <si>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</si>
  <si>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</si>
  <si>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</si>
  <si>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</si>
  <si>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</si>
  <si>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</si>
  <si>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</si>
  <si>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</si>
  <si>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</si>
  <si>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</si>
  <si>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</si>
  <si>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</si>
  <si>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</si>
  <si>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</si>
  <si>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</si>
  <si>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</si>
  <si>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</si>
  <si>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</si>
  <si>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</si>
  <si>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</si>
  <si>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</si>
  <si>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</si>
  <si>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</si>
  <si>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</si>
  <si>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</si>
  <si>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</si>
  <si>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</si>
  <si>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</si>
  <si>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</si>
  <si>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</si>
  <si>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</si>
  <si>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</si>
  <si>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</si>
  <si>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</si>
  <si>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</si>
  <si>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</si>
  <si>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</si>
  <si>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</si>
  <si>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</si>
  <si>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</si>
  <si>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</si>
  <si>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</si>
  <si>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</si>
  <si>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</si>
  <si>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</si>
  <si>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</si>
  <si>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</si>
  <si>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</si>
  <si>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</si>
  <si>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</si>
  <si>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</si>
  <si>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</si>
  <si>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</si>
  <si>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</si>
  <si>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</si>
  <si>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</si>
  <si>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</si>
  <si>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</si>
  <si>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</si>
  <si>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</si>
  <si>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</si>
  <si>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</si>
  <si>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</si>
  <si>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</si>
  <si>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</si>
  <si>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</si>
  <si>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</si>
  <si>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</si>
  <si>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</si>
  <si>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</si>
  <si>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</si>
  <si>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</si>
  <si>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</si>
  <si>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</si>
  <si>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</si>
  <si>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</si>
  <si>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</si>
  <si>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</si>
  <si>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</si>
  <si>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</si>
  <si>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</si>
  <si>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</si>
  <si>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</si>
  <si>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</si>
  <si>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</si>
  <si>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</si>
  <si>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</si>
  <si>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</si>
  <si>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</si>
  <si>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</si>
  <si>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</si>
  <si>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</si>
  <si>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</si>
  <si>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</si>
  <si>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</si>
  <si>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</si>
  <si>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</si>
  <si>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</si>
  <si>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</si>
  <si>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</si>
  <si>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</si>
  <si>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</si>
  <si>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</si>
  <si>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</si>
  <si>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</si>
  <si>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</si>
  <si>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</si>
  <si>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</si>
  <si>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</si>
  <si>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</si>
  <si>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</si>
  <si>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</si>
  <si>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</si>
  <si>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</si>
  <si>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</si>
  <si>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</si>
  <si>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</si>
  <si>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</si>
  <si>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</si>
  <si>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</si>
  <si>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</si>
  <si>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</si>
  <si>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</si>
  <si>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</si>
  <si>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</si>
  <si>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</si>
  <si>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</si>
  <si>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</si>
  <si>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</si>
  <si>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</si>
  <si>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</si>
  <si>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</si>
  <si>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</si>
  <si>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</si>
  <si>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</si>
  <si>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</si>
  <si>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</si>
  <si>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</si>
  <si>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</si>
  <si>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</si>
  <si>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</si>
  <si>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</si>
  <si>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</si>
  <si>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</si>
  <si>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</si>
  <si>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</si>
  <si>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</si>
  <si>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</si>
  <si>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</si>
  <si>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</si>
  <si>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</si>
  <si>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</si>
  <si>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</si>
  <si>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</si>
  <si>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</si>
  <si>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</si>
  <si>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</si>
  <si>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</si>
  <si>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</si>
  <si>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</si>
  <si>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</si>
  <si>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</si>
  <si>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</si>
  <si>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</si>
  <si>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</si>
  <si>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</si>
  <si>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</si>
  <si>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</si>
  <si>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</si>
  <si>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</si>
  <si>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</si>
  <si>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</si>
  <si>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</si>
  <si>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</si>
  <si>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</si>
  <si>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</si>
  <si>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</si>
  <si>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</si>
  <si>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</si>
  <si>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</si>
  <si>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</si>
  <si>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</si>
  <si>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</si>
  <si>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</si>
  <si>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</si>
  <si>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</si>
  <si>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</si>
  <si>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</si>
  <si>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</si>
  <si>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</si>
  <si>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</si>
  <si>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</si>
  <si>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</si>
  <si>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</si>
  <si>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</si>
  <si>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</si>
  <si>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</si>
  <si>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</si>
  <si>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</si>
  <si>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</si>
  <si>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</si>
  <si>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</si>
  <si>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</si>
  <si>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</si>
  <si>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</si>
  <si>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</si>
  <si>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</si>
  <si>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</si>
  <si>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</si>
  <si>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</si>
  <si>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</si>
  <si>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</si>
  <si>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</si>
  <si>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</si>
  <si>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</si>
  <si>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</si>
  <si>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</si>
  <si>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</si>
  <si>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</si>
  <si>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</si>
  <si>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</si>
  <si>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</si>
  <si>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</si>
  <si>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</si>
  <si>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</si>
  <si>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</si>
  <si>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</si>
  <si>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</si>
  <si>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</si>
  <si>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</si>
  <si>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</si>
  <si>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</si>
  <si>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</si>
  <si>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</si>
  <si>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</si>
  <si>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</si>
  <si>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</si>
  <si>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</si>
  <si>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</si>
  <si>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</si>
  <si>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</si>
  <si>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</si>
  <si>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</si>
  <si>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</si>
  <si>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</si>
  <si>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</si>
  <si>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</si>
  <si>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</si>
  <si>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</si>
  <si>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</si>
  <si>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</si>
  <si>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</si>
  <si>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</si>
  <si>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</si>
  <si>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</si>
  <si>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</si>
  <si>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</si>
  <si>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</si>
  <si>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</si>
  <si>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</si>
  <si>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</si>
  <si>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</si>
  <si>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</si>
  <si>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</si>
  <si>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</si>
  <si>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</si>
  <si>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</si>
  <si>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</si>
  <si>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</si>
  <si>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</si>
  <si>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</si>
  <si>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</si>
  <si>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</si>
  <si>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</si>
  <si>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</si>
  <si>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</si>
  <si>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</si>
  <si>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</si>
  <si>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</si>
  <si>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</si>
  <si>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</si>
  <si>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</si>
  <si>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</si>
  <si>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</si>
  <si>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</si>
  <si>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</si>
  <si>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</si>
  <si>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</si>
  <si>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</si>
  <si>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</si>
  <si>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</si>
  <si>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</si>
  <si>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</si>
  <si>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</si>
  <si>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</si>
  <si>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</si>
  <si>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</si>
  <si>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</si>
  <si>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</si>
  <si>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</si>
  <si>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</si>
  <si>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</si>
  <si>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</si>
  <si>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</si>
  <si>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</si>
  <si>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</si>
  <si>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</si>
  <si>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</si>
  <si>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</si>
  <si>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</si>
  <si>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</si>
  <si>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</si>
  <si>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</si>
  <si>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</si>
  <si>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</si>
  <si>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</si>
  <si>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</si>
  <si>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</si>
  <si>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</si>
  <si>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</si>
  <si>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</si>
  <si>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</si>
  <si>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</si>
  <si>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</si>
  <si>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</si>
  <si>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</si>
  <si>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</si>
  <si>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</si>
  <si>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</si>
  <si>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</si>
  <si>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</si>
  <si>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</si>
  <si>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</si>
  <si>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</si>
  <si>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</si>
  <si>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</si>
  <si>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</si>
  <si>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</si>
  <si>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</si>
  <si>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</si>
  <si>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</si>
  <si>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</si>
  <si>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</si>
  <si>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</si>
  <si>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</si>
  <si>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</si>
  <si>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</si>
  <si>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</si>
  <si>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</si>
  <si>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</si>
  <si>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</si>
  <si>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</si>
  <si>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</si>
  <si>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</si>
  <si>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</si>
  <si>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</si>
  <si>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</si>
  <si>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</si>
  <si>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</si>
  <si>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</si>
  <si>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</si>
  <si>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</si>
  <si>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</si>
  <si>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</si>
  <si>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</si>
  <si>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</si>
  <si>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</si>
  <si>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</si>
  <si>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</si>
  <si>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</si>
  <si>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</si>
  <si>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</si>
  <si>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</si>
  <si>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</si>
  <si>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</si>
  <si>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</si>
  <si>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</si>
  <si>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</si>
  <si>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</si>
  <si>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</si>
  <si>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</si>
  <si>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</si>
  <si>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</si>
  <si>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</si>
  <si>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</si>
  <si>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</si>
  <si>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</si>
  <si>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</si>
  <si>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</si>
  <si>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</si>
  <si>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</si>
  <si>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</si>
  <si>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</si>
  <si>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</si>
  <si>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</si>
  <si>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</si>
  <si>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</si>
  <si>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</si>
  <si>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</si>
  <si>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</si>
  <si>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</si>
  <si>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</si>
  <si>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</si>
  <si>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</si>
  <si>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</si>
  <si>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</si>
  <si>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</si>
  <si>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</si>
  <si>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</si>
  <si>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</si>
  <si>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</si>
  <si>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</si>
  <si>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</si>
  <si>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</si>
  <si>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</si>
  <si>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</si>
  <si>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</si>
  <si>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</si>
  <si>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</si>
  <si>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</si>
  <si>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</si>
  <si>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</si>
  <si>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</si>
  <si>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</si>
  <si>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</si>
  <si>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</si>
  <si>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</si>
  <si>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</si>
  <si>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</si>
  <si>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</si>
  <si>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</si>
  <si>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</si>
  <si>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</si>
  <si>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</si>
  <si>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</si>
  <si>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</si>
  <si>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</si>
  <si>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</si>
  <si>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</si>
  <si>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</si>
  <si>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</si>
  <si>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</si>
  <si>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</si>
  <si>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</si>
  <si>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</si>
  <si>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</si>
  <si>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</si>
  <si>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</si>
  <si>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</si>
  <si>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</si>
  <si>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</si>
  <si>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</si>
  <si>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</si>
  <si>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</si>
  <si>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</si>
  <si>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</si>
  <si>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</si>
  <si>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</si>
  <si>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</si>
  <si>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</si>
  <si>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</si>
  <si>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</si>
  <si>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</si>
  <si>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</si>
  <si>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</si>
  <si>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</si>
  <si>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</si>
  <si>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</si>
  <si>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</si>
  <si>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</si>
  <si>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</si>
  <si>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</si>
  <si>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</si>
  <si>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</si>
  <si>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</si>
  <si>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</si>
  <si>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</si>
  <si>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</si>
  <si>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</si>
  <si>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</si>
  <si>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</si>
  <si>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</si>
  <si>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</si>
  <si>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</si>
  <si>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</si>
  <si>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</si>
  <si>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</si>
  <si>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</si>
  <si>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</si>
  <si>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</si>
  <si>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</si>
  <si>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</si>
  <si>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</si>
  <si>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</si>
  <si>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</si>
  <si>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</si>
  <si>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</si>
  <si>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</si>
  <si>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</si>
  <si>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</si>
  <si>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</si>
  <si>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</si>
  <si>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</si>
  <si>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</si>
  <si>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</si>
  <si>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</si>
  <si>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</si>
  <si>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</si>
  <si>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</si>
  <si>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</si>
  <si>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</si>
  <si>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</si>
  <si>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</si>
  <si>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</si>
  <si>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</si>
  <si>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</si>
  <si>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</si>
  <si>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</si>
  <si>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</si>
  <si>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</si>
  <si>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</si>
  <si>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</si>
  <si>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</si>
  <si>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</si>
  <si>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</si>
  <si>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</si>
  <si>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</si>
  <si>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</si>
  <si>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</si>
  <si>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</si>
  <si>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</si>
  <si>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</si>
  <si>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</si>
  <si>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</si>
  <si>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</si>
  <si>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</si>
  <si>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</si>
  <si>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</si>
  <si>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</si>
  <si>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</si>
  <si>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</si>
  <si>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</si>
  <si>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</si>
  <si>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</si>
  <si>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</si>
  <si>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</si>
  <si>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</si>
  <si>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</si>
  <si>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</si>
  <si>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</si>
  <si>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</si>
  <si>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</si>
  <si>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</si>
  <si>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</si>
  <si>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</si>
  <si>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</si>
  <si>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</si>
  <si>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</si>
  <si>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</si>
  <si>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</si>
  <si>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</si>
  <si>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</si>
  <si>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</si>
  <si>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</si>
  <si>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</si>
  <si>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</si>
  <si>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</si>
  <si>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</si>
  <si>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</si>
  <si>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</si>
  <si>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</si>
  <si>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</si>
  <si>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</si>
  <si>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</si>
  <si>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</si>
  <si>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</si>
  <si>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</si>
  <si>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</si>
  <si>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</si>
  <si>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</si>
  <si>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</si>
  <si>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</si>
  <si>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</si>
  <si>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</si>
  <si>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</si>
  <si>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</si>
  <si>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</si>
  <si>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</si>
  <si>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</si>
  <si>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</si>
  <si>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</si>
  <si>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</si>
  <si>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</si>
  <si>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</si>
  <si>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</si>
  <si>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</si>
  <si>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</si>
  <si>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</si>
  <si>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</si>
  <si>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</si>
  <si>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</si>
  <si>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</si>
  <si>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</si>
  <si>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</si>
  <si>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</si>
  <si>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</si>
  <si>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</si>
  <si>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</si>
  <si>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</si>
  <si>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</si>
  <si>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</si>
  <si>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</si>
  <si>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</si>
  <si>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</si>
  <si>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</si>
  <si>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</si>
  <si>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</si>
  <si>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</si>
  <si>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</si>
  <si>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</si>
  <si>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</si>
  <si>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</si>
  <si>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</si>
  <si>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</si>
  <si>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</si>
  <si>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</si>
  <si>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</si>
  <si>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</si>
  <si>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</si>
  <si>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</si>
  <si>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</si>
  <si>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</si>
  <si>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</si>
  <si>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</si>
  <si>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</si>
  <si>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</si>
  <si>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</si>
  <si>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</si>
  <si>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</si>
  <si>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</si>
  <si>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</si>
  <si>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</si>
  <si>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</si>
  <si>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</si>
  <si>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</si>
  <si>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</si>
  <si>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</si>
  <si>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</si>
  <si>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</si>
  <si>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</si>
  <si>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</si>
  <si>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</si>
  <si>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</si>
  <si>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</si>
  <si>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</si>
  <si>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</si>
  <si>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</si>
  <si>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</si>
  <si>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</si>
  <si>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</si>
  <si>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</si>
  <si>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</si>
  <si>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</si>
  <si>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</si>
  <si>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</si>
  <si>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</si>
  <si>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</si>
  <si>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</si>
  <si>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</si>
  <si>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</si>
  <si>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</si>
  <si>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</si>
  <si>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</si>
  <si>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</si>
  <si>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</si>
  <si>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</si>
  <si>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</si>
  <si>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</si>
  <si>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</si>
  <si>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</si>
  <si>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</si>
  <si>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</si>
  <si>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</si>
  <si>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</si>
  <si>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</si>
  <si>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</si>
  <si>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</si>
  <si>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</si>
  <si>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</si>
  <si>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</si>
  <si>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</si>
  <si>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</si>
  <si>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</si>
  <si>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</si>
  <si>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</si>
  <si>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</si>
  <si>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</si>
  <si>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</si>
  <si>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</si>
  <si>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</si>
  <si>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</si>
  <si>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</si>
  <si>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</si>
  <si>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</si>
  <si>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</si>
  <si>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</si>
  <si>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</si>
  <si>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</si>
  <si>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</si>
  <si>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</si>
  <si>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</si>
  <si>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</si>
  <si>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</si>
  <si>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</si>
  <si>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</si>
  <si>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</si>
  <si>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</si>
  <si>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</si>
  <si>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</si>
  <si>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</si>
  <si>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</si>
  <si>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</si>
  <si>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</si>
  <si>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</si>
  <si>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</si>
  <si>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</si>
  <si>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</si>
  <si>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</si>
  <si>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</si>
  <si>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</si>
  <si>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</si>
  <si>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</si>
  <si>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</si>
  <si>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</si>
  <si>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</si>
  <si>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</si>
  <si>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</si>
  <si>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</si>
  <si>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</si>
  <si>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</si>
  <si>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</si>
  <si>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</si>
  <si>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</si>
  <si>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</si>
  <si>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</si>
  <si>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</si>
  <si>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</si>
  <si>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</si>
  <si>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</si>
  <si>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</si>
  <si>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</si>
  <si>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</si>
  <si>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</si>
  <si>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</si>
  <si>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</si>
  <si>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</si>
  <si>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</si>
  <si>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</si>
  <si>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</si>
  <si>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</si>
  <si>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</si>
  <si>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</si>
  <si>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</si>
  <si>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</si>
  <si>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</si>
  <si>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</si>
  <si>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</si>
  <si>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</si>
  <si>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</si>
  <si>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</si>
  <si>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</si>
  <si>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</si>
  <si>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</si>
  <si>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</si>
  <si>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</si>
  <si>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</si>
  <si>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</si>
  <si>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</si>
  <si>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</si>
  <si>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</si>
  <si>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</si>
  <si>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</si>
  <si>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</si>
  <si>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</si>
  <si>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</si>
  <si>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</si>
  <si>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</si>
  <si>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</si>
  <si>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</si>
  <si>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</si>
  <si>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</si>
  <si>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</si>
  <si>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</si>
  <si>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</si>
  <si>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</si>
  <si>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</si>
  <si>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</si>
  <si>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</si>
  <si>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</si>
  <si>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</si>
  <si>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</si>
  <si>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</si>
  <si>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</si>
  <si>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</si>
  <si>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</si>
  <si>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</si>
  <si>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</si>
  <si>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</si>
  <si>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</si>
  <si>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</si>
  <si>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</si>
  <si>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</si>
  <si>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</si>
  <si>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</si>
  <si>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</si>
  <si>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</si>
  <si>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</si>
  <si>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</si>
  <si>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</si>
  <si>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</si>
  <si>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</si>
  <si>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</si>
  <si>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</si>
  <si>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</si>
  <si>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</si>
  <si>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</si>
  <si>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</si>
  <si>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</si>
  <si>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</si>
  <si>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</si>
  <si>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</si>
  <si>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</si>
  <si>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</si>
  <si>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</si>
  <si>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</si>
  <si>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</si>
  <si>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</si>
  <si>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</si>
  <si>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</si>
  <si>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</si>
  <si>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</si>
  <si>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</si>
  <si>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</si>
  <si>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</si>
  <si>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</si>
  <si>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</si>
  <si>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</si>
  <si>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</si>
  <si>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</si>
  <si>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</si>
  <si>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</si>
  <si>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</si>
  <si>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</si>
  <si>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</si>
  <si>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</si>
  <si>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</si>
  <si>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</si>
  <si>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</si>
  <si>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</si>
  <si>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</si>
  <si>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</si>
  <si>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</si>
  <si>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</si>
  <si>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</si>
  <si>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</si>
  <si>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</si>
  <si>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</si>
  <si>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</si>
  <si>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</si>
  <si>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</si>
  <si>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</si>
  <si>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</si>
  <si>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</si>
  <si>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</si>
  <si>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</si>
  <si>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</si>
  <si>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</si>
  <si>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</si>
  <si>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</si>
  <si>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</si>
  <si>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</si>
  <si>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</si>
  <si>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</si>
  <si>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</si>
  <si>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</si>
  <si>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</si>
  <si>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</si>
  <si>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</si>
  <si>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</si>
  <si>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</si>
  <si>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</si>
  <si>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</si>
  <si>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</si>
  <si>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</si>
  <si>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</si>
  <si>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</si>
  <si>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</si>
  <si>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</si>
  <si>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</si>
  <si>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</si>
  <si>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</si>
  <si>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</si>
  <si>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</si>
  <si>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</si>
  <si>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</si>
  <si>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</si>
  <si>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</si>
  <si>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</si>
  <si>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</si>
  <si>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</si>
  <si>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</si>
  <si>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</si>
  <si>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</si>
  <si>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</si>
  <si>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</si>
  <si>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</si>
  <si>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</si>
  <si>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</si>
  <si>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</si>
  <si>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</si>
  <si>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</si>
  <si>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</si>
  <si>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</si>
  <si>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</si>
  <si>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</si>
  <si>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</si>
  <si>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</si>
  <si>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</si>
  <si>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</si>
  <si>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</si>
  <si>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</si>
  <si>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</si>
  <si>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</si>
  <si>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</si>
  <si>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</si>
  <si>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</si>
  <si>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</si>
  <si>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</si>
  <si>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</si>
  <si>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</si>
  <si>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</si>
  <si>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</si>
  <si>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</si>
  <si>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</si>
  <si>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</si>
  <si>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</si>
  <si>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</si>
  <si>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</si>
  <si>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</si>
  <si>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</si>
  <si>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</si>
  <si>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</si>
  <si>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</si>
  <si>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</si>
  <si>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</si>
  <si>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</si>
  <si>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</si>
  <si>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</si>
  <si>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</si>
  <si>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</si>
  <si>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</si>
  <si>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</si>
  <si>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</si>
  <si>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</si>
  <si>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</si>
  <si>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</si>
  <si>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</si>
  <si>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</si>
  <si>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</si>
  <si>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</si>
  <si>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</si>
  <si>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</si>
  <si>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</si>
  <si>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</si>
  <si>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</si>
  <si>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</si>
  <si>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</si>
  <si>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</si>
  <si>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</si>
  <si>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</si>
  <si>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</si>
  <si>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</si>
  <si>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</si>
  <si>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</si>
  <si>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</si>
  <si>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</si>
  <si>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</si>
  <si>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</si>
  <si>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</si>
  <si>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</si>
  <si>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</si>
  <si>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</si>
  <si>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</si>
  <si>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</si>
  <si>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</si>
  <si>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</si>
  <si>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</si>
  <si>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</si>
  <si>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</si>
  <si>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</si>
  <si>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</si>
  <si>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</si>
  <si>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</si>
  <si>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</si>
  <si>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</si>
  <si>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</si>
  <si>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</si>
  <si>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</si>
  <si>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</si>
  <si>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</si>
  <si>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</si>
  <si>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</si>
  <si>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</si>
  <si>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</si>
  <si>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</si>
  <si>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</si>
  <si>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</si>
  <si>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</si>
  <si>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</si>
  <si>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</si>
  <si>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</si>
  <si>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</si>
  <si>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</si>
  <si>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</si>
  <si>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</si>
  <si>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</si>
  <si>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</si>
  <si>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</si>
  <si>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</si>
  <si>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</si>
  <si>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</si>
  <si>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</si>
  <si>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</si>
  <si>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</si>
  <si>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</si>
  <si>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</si>
  <si>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</si>
  <si>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</si>
  <si>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</si>
  <si>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</si>
  <si>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</si>
  <si>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</si>
  <si>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</si>
  <si>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</si>
  <si>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</si>
  <si>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</si>
  <si>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</si>
  <si>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</si>
  <si>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</si>
  <si>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</si>
  <si>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</si>
  <si>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</si>
  <si>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</si>
  <si>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</si>
  <si>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</si>
  <si>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</si>
  <si>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</si>
  <si>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</si>
  <si>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</si>
  <si>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</si>
  <si>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</si>
  <si>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</si>
  <si>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</si>
  <si>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</si>
  <si>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</si>
  <si>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</si>
  <si>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</si>
  <si>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</si>
  <si>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</si>
  <si>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</si>
  <si>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</si>
  <si>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</si>
  <si>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</si>
  <si>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</si>
  <si>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</si>
  <si>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</si>
  <si>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</si>
  <si>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</si>
  <si>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</si>
  <si>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</si>
  <si>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</si>
  <si>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</si>
  <si>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</si>
  <si>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</si>
  <si>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</si>
  <si>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</si>
  <si>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</si>
  <si>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</si>
  <si>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</si>
  <si>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</si>
  <si>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</si>
  <si>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</si>
  <si>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</si>
  <si>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</si>
  <si>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</si>
  <si>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</si>
  <si>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</si>
  <si>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</si>
  <si>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</si>
  <si>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</si>
  <si>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</si>
  <si>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</si>
  <si>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</si>
  <si>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</si>
  <si>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</si>
  <si>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</si>
  <si>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</si>
  <si>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</si>
  <si>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</si>
  <si>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</si>
  <si>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</si>
  <si>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</si>
  <si>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</si>
  <si>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</si>
  <si>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</si>
  <si>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</si>
  <si>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</si>
  <si>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</si>
  <si>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</si>
  <si>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</si>
  <si>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</si>
  <si>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</si>
  <si>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</si>
  <si>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</si>
  <si>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</si>
  <si>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</si>
  <si>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</si>
  <si>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</si>
  <si>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</si>
  <si>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</si>
  <si>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</si>
  <si>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</si>
  <si>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</si>
  <si>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</si>
  <si>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</si>
  <si>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</si>
  <si>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</si>
  <si>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</si>
  <si>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</si>
  <si>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</si>
  <si>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</si>
  <si>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</si>
  <si>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</si>
  <si>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</si>
  <si>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</si>
  <si>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</si>
  <si>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</si>
  <si>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</si>
  <si>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</si>
  <si>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</si>
  <si>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</si>
  <si>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</si>
  <si>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</si>
  <si>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</si>
  <si>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</si>
  <si>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</si>
  <si>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</si>
  <si>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</si>
  <si>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</si>
  <si>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</si>
  <si>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</si>
  <si>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</si>
  <si>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</si>
  <si>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</si>
  <si>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</si>
  <si>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</si>
  <si>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</si>
  <si>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</si>
  <si>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</si>
  <si>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</si>
  <si>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</si>
  <si>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</si>
  <si>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</si>
  <si>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</si>
  <si>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</si>
  <si>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</si>
  <si>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</si>
  <si>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</si>
  <si>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</si>
  <si>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</si>
  <si>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</si>
  <si>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</si>
  <si>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</si>
  <si>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</si>
  <si>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</si>
  <si>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</si>
  <si>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</si>
  <si>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</si>
  <si>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</si>
  <si>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</si>
  <si>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</si>
  <si>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</si>
  <si>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</si>
  <si>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</si>
  <si>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</si>
  <si>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</si>
  <si>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</si>
  <si>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</si>
  <si>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</si>
  <si>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</si>
  <si>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</si>
  <si>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</si>
  <si>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</si>
  <si>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</si>
  <si>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</si>
  <si>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</si>
  <si>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</si>
  <si>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</si>
  <si>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</si>
  <si>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</si>
  <si>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</si>
  <si>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</si>
  <si>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</si>
  <si>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</si>
  <si>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</si>
  <si>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</si>
  <si>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</si>
  <si>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</si>
  <si>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</si>
  <si>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</si>
  <si>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</si>
  <si>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</si>
  <si>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</si>
  <si>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</si>
  <si>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</si>
  <si>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</si>
  <si>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</si>
  <si>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</si>
  <si>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</si>
  <si>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</si>
  <si>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</si>
  <si>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</si>
  <si>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</si>
  <si>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</si>
  <si>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</si>
  <si>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</si>
  <si>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</si>
  <si>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</si>
  <si>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</si>
  <si>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</si>
  <si>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</si>
  <si>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</si>
  <si>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</si>
  <si>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</si>
  <si>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</si>
  <si>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</si>
  <si>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</si>
  <si>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</si>
  <si>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</si>
  <si>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</si>
  <si>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</si>
  <si>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</si>
  <si>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</si>
  <si>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</si>
  <si>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</si>
  <si>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</si>
  <si>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</si>
  <si>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</si>
  <si>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</si>
  <si>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</si>
  <si>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</si>
  <si>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</si>
  <si>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</si>
  <si>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</si>
  <si>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</si>
  <si>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</si>
  <si>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</si>
  <si>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</si>
  <si>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</si>
  <si>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</si>
  <si>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</si>
  <si>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</si>
  <si>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</si>
  <si>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</si>
  <si>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</si>
  <si>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</si>
  <si>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</si>
  <si>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</si>
  <si>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</si>
  <si>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</si>
  <si>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</si>
  <si>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</si>
  <si>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</si>
  <si>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</si>
  <si>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</si>
  <si>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</si>
  <si>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</si>
  <si>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</si>
  <si>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</si>
  <si>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</si>
  <si>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</si>
  <si>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</si>
  <si>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</si>
  <si>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</si>
  <si>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</si>
  <si>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</si>
  <si>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</si>
  <si>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</si>
  <si>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</si>
  <si>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</si>
  <si>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</si>
  <si>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</si>
  <si>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</si>
  <si>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</si>
  <si>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</si>
  <si>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</si>
  <si>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</si>
  <si>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</si>
  <si>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</si>
  <si>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</si>
  <si>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</si>
  <si>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</si>
  <si>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</si>
  <si>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</si>
  <si>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</si>
  <si>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</si>
  <si>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</si>
  <si>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</si>
  <si>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</si>
  <si>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</si>
  <si>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</si>
  <si>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</si>
  <si>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</si>
  <si>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</si>
  <si>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</si>
  <si>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</si>
  <si>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</si>
  <si>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</si>
  <si>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</si>
  <si>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</si>
  <si>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</si>
  <si>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</si>
  <si>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</si>
  <si>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</si>
  <si>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</si>
  <si>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</si>
  <si>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</si>
  <si>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</si>
  <si>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</si>
  <si>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</si>
  <si>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</si>
  <si>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</si>
  <si>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</si>
  <si>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</si>
  <si>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</si>
  <si>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</si>
  <si>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</si>
  <si>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</si>
  <si>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</si>
  <si>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</si>
  <si>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</si>
  <si>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</si>
  <si>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</si>
  <si>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</si>
  <si>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</si>
  <si>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</si>
  <si>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</si>
  <si>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</si>
  <si>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</si>
  <si>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</si>
  <si>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</si>
  <si>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</si>
  <si>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</si>
  <si>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</si>
  <si>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</si>
  <si>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</si>
  <si>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</si>
  <si>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</si>
  <si>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</si>
  <si>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</si>
  <si>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</si>
  <si>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</si>
  <si>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</si>
  <si>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</si>
  <si>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</si>
  <si>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</si>
  <si>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</si>
  <si>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</si>
  <si>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</si>
  <si>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</si>
  <si>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</si>
  <si>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</si>
  <si>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</si>
  <si>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</si>
  <si>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</si>
  <si>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</si>
  <si>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</si>
  <si>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</si>
  <si>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</si>
  <si>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</si>
  <si>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</si>
  <si>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</si>
  <si>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</si>
  <si>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</si>
  <si>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</si>
  <si>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</si>
  <si>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</si>
  <si>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</si>
  <si>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</si>
  <si>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</si>
  <si>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</si>
  <si>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</si>
  <si>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</si>
  <si>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</si>
  <si>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</si>
  <si>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</si>
  <si>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</si>
  <si>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</si>
  <si>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</si>
  <si>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</si>
  <si>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</si>
  <si>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</si>
  <si>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</si>
  <si>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</si>
  <si>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</si>
  <si>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</si>
  <si>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</si>
  <si>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</si>
  <si>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</si>
  <si>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</si>
  <si>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</si>
  <si>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</si>
  <si>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</si>
  <si>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</si>
  <si>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</si>
  <si>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</si>
  <si>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</si>
  <si>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</si>
  <si>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</si>
  <si>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</si>
  <si>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</si>
  <si>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</si>
  <si>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</si>
  <si>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</si>
  <si>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</si>
  <si>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</si>
  <si>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</si>
  <si>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</si>
  <si>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</si>
  <si>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</si>
  <si>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</si>
  <si>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</si>
  <si>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</si>
  <si>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</si>
  <si>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</si>
  <si>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</si>
  <si>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</si>
  <si>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</si>
  <si>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</si>
  <si>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</si>
  <si>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</si>
  <si>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</si>
  <si>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</si>
  <si>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</si>
  <si>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</si>
  <si>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</si>
  <si>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</si>
  <si>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</si>
  <si>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</si>
  <si>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</si>
  <si>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</si>
  <si>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</si>
  <si>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</si>
  <si>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</si>
  <si>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</si>
  <si>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</si>
  <si>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</si>
  <si>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</si>
  <si>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</si>
  <si>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</si>
  <si>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</si>
  <si>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</si>
  <si>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</si>
  <si>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</si>
  <si>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</si>
  <si>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</si>
  <si>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</si>
  <si>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</si>
  <si>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</si>
  <si>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</si>
  <si>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</si>
  <si>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</si>
  <si>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</si>
  <si>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</si>
  <si>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</si>
  <si>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</si>
  <si>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</si>
  <si>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</si>
  <si>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</si>
  <si>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</si>
  <si>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</si>
  <si>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</si>
  <si>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</si>
  <si>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</si>
  <si>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</si>
  <si>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</si>
  <si>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</si>
  <si>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</si>
  <si>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</si>
  <si>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</si>
  <si>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</si>
  <si>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</si>
  <si>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</si>
  <si>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</si>
  <si>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</si>
  <si>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</si>
  <si>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</si>
  <si>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</si>
  <si>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</si>
  <si>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</si>
  <si>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</si>
  <si>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</si>
  <si>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</si>
  <si>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</si>
  <si>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</si>
  <si>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</si>
  <si>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</si>
  <si>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</si>
  <si>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</si>
  <si>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</si>
  <si>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</si>
  <si>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</si>
  <si>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</si>
  <si>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</si>
  <si>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</si>
  <si>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</si>
  <si>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</si>
  <si>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</si>
  <si>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</si>
  <si>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</si>
  <si>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</si>
  <si>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</si>
  <si>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</si>
  <si>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</si>
  <si>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</si>
  <si>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</si>
  <si>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</si>
  <si>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</si>
  <si>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</si>
  <si>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</si>
  <si>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</si>
  <si>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</si>
  <si>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</si>
  <si>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</si>
  <si>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</si>
  <si>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</si>
  <si>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</si>
  <si>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</si>
  <si>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</si>
  <si>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</si>
  <si>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</si>
  <si>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</si>
  <si>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</si>
  <si>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</si>
  <si>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</si>
  <si>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</si>
  <si>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</si>
  <si>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</si>
  <si>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</si>
  <si>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</si>
  <si>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</si>
  <si>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</si>
  <si>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</si>
  <si>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</si>
  <si>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</si>
  <si>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</si>
  <si>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</si>
  <si>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</si>
  <si>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</si>
  <si>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</si>
  <si>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</si>
  <si>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</si>
  <si>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</si>
  <si>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</si>
  <si>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</si>
  <si>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</si>
  <si>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</si>
  <si>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</si>
  <si>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</si>
  <si>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</si>
  <si>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</si>
  <si>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</si>
  <si>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</si>
  <si>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</si>
  <si>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</si>
  <si>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</si>
  <si>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</si>
  <si>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</si>
  <si>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</si>
  <si>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</si>
  <si>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</si>
  <si>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</si>
  <si>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</si>
  <si>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</si>
  <si>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</si>
  <si>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</si>
  <si>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</si>
  <si>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</si>
  <si>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</si>
  <si>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</si>
  <si>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</si>
  <si>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</si>
  <si>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</si>
  <si>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</si>
  <si>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</si>
  <si>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</si>
  <si>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</si>
  <si>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</si>
  <si>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</si>
  <si>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</si>
  <si>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</si>
  <si>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</si>
  <si>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</si>
  <si>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</si>
  <si>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</si>
  <si>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</si>
  <si>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</si>
  <si>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</si>
  <si>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</si>
  <si>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</si>
  <si>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</si>
  <si>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</si>
  <si>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</si>
  <si>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</si>
  <si>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</si>
  <si>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</si>
  <si>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</si>
  <si>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</si>
  <si>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</si>
  <si>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</si>
  <si>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</si>
  <si>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</si>
  <si>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</si>
  <si>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</si>
  <si>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</si>
  <si>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</si>
  <si>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</si>
  <si>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</si>
  <si>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</si>
  <si>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</si>
  <si>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</si>
  <si>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</si>
  <si>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</si>
  <si>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</si>
  <si>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</si>
  <si>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</si>
  <si>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</si>
  <si>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</si>
  <si>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</si>
  <si>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</si>
  <si>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</si>
  <si>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</si>
  <si>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</si>
  <si>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</si>
  <si>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</si>
  <si>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</si>
  <si>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</si>
  <si>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</si>
  <si>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</si>
  <si>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</si>
  <si>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</si>
  <si>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</si>
  <si>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</si>
  <si>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</si>
  <si>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</si>
  <si>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</si>
  <si>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</si>
  <si>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</si>
  <si>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</si>
  <si>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</si>
  <si>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</si>
  <si>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</si>
  <si>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</si>
  <si>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</si>
  <si>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</si>
  <si>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</si>
  <si>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</si>
  <si>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</si>
  <si>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</si>
  <si>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</si>
  <si>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</si>
  <si>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</si>
  <si>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</si>
  <si>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</si>
  <si>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</si>
  <si>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</si>
  <si>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</si>
  <si>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</si>
  <si>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</si>
  <si>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</si>
  <si>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</si>
  <si>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</si>
  <si>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</si>
  <si>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</si>
  <si>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</si>
  <si>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</si>
  <si>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</si>
  <si>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</si>
  <si>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</si>
  <si>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</si>
  <si>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</si>
  <si>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</si>
  <si>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</si>
  <si>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</si>
  <si>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</si>
  <si>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</si>
  <si>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</si>
  <si>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</si>
  <si>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</si>
  <si>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</si>
  <si>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</si>
  <si>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</si>
  <si>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</si>
  <si>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</si>
  <si>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</si>
  <si>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</si>
  <si>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</si>
  <si>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</si>
  <si>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</si>
  <si>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</si>
  <si>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</si>
  <si>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</si>
  <si>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</si>
  <si>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</si>
  <si>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</si>
  <si>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</si>
  <si>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</si>
  <si>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</si>
  <si>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</si>
  <si>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</si>
  <si>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</si>
  <si>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</si>
  <si>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</si>
  <si>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</si>
  <si>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</si>
  <si>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</si>
  <si>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</si>
  <si>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</si>
  <si>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</si>
  <si>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</si>
  <si>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</si>
  <si>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</si>
  <si>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</si>
  <si>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</si>
  <si>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</si>
  <si>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</si>
  <si>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</si>
  <si>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</si>
  <si>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</si>
  <si>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</si>
  <si>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</si>
  <si>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</si>
  <si>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</si>
  <si>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</si>
  <si>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</si>
  <si>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</si>
  <si>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</si>
  <si>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</si>
  <si>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</si>
  <si>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</si>
  <si>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</si>
  <si>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</si>
  <si>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</si>
  <si>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</si>
  <si>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</si>
  <si>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</si>
  <si>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</si>
  <si>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</si>
  <si>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</si>
  <si>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</si>
  <si>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</si>
  <si>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</si>
  <si>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</si>
  <si>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</si>
  <si>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</si>
  <si>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</si>
  <si>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</si>
  <si>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</si>
  <si>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</si>
  <si>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</si>
  <si>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</si>
  <si>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</si>
  <si>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</si>
  <si>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</si>
  <si>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</si>
  <si>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</si>
  <si>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</si>
  <si>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</si>
  <si>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</si>
  <si>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</si>
  <si>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</si>
  <si>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</si>
  <si>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</si>
  <si>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</si>
  <si>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</si>
  <si>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</si>
  <si>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</si>
  <si>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</si>
  <si>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</si>
  <si>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</si>
  <si>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</si>
  <si>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</si>
  <si>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</si>
  <si>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</si>
  <si>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</si>
  <si>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</si>
  <si>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</si>
  <si>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</si>
  <si>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</si>
  <si>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</si>
  <si>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</si>
  <si>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</si>
  <si>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</si>
  <si>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</si>
  <si>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</si>
  <si>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</si>
  <si>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</si>
  <si>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</si>
  <si>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</si>
  <si>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</si>
  <si>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</si>
  <si>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</si>
  <si>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</si>
  <si>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</si>
  <si>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</si>
  <si>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</si>
  <si>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</si>
  <si>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</si>
  <si>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</si>
  <si>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</si>
  <si>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</si>
  <si>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</si>
  <si>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</si>
  <si>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</si>
  <si>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</si>
  <si>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</si>
  <si>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</si>
  <si>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</si>
  <si>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</si>
  <si>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</si>
  <si>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</si>
  <si>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</si>
  <si>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</si>
  <si>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</si>
  <si>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</si>
  <si>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</si>
  <si>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</si>
  <si>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</si>
  <si>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</si>
  <si>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</si>
  <si>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</si>
  <si>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</si>
  <si>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</si>
  <si>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</si>
  <si>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</si>
  <si>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</si>
  <si>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</si>
  <si>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</si>
  <si>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</si>
  <si>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</si>
  <si>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</si>
  <si>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</si>
  <si>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</si>
  <si>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</si>
  <si>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</si>
  <si>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</si>
  <si>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</si>
  <si>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</si>
  <si>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</si>
  <si>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</si>
  <si>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</si>
  <si>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</si>
  <si>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</si>
  <si>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</si>
  <si>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</si>
  <si>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</si>
  <si>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</si>
  <si>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</si>
  <si>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</si>
  <si>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</si>
  <si>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</si>
  <si>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</si>
  <si>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</si>
  <si>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</si>
  <si>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</si>
  <si>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</si>
  <si>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</si>
  <si>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</si>
  <si>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</si>
  <si>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</si>
  <si>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</si>
  <si>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</si>
  <si>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</si>
  <si>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</si>
  <si>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</si>
  <si>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</si>
  <si>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</si>
  <si>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</si>
  <si>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</si>
  <si>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</si>
  <si>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</si>
  <si>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</si>
  <si>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</si>
  <si>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</si>
  <si>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</si>
  <si>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</si>
  <si>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</si>
  <si>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</si>
  <si>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</si>
  <si>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</si>
  <si>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</si>
  <si>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</si>
  <si>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</si>
  <si>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</si>
  <si>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</si>
  <si>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</si>
  <si>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</si>
  <si>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</si>
  <si>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</si>
  <si>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</si>
  <si>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</si>
  <si>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</si>
  <si>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</si>
  <si>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</si>
  <si>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</si>
  <si>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</si>
  <si>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</si>
  <si>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</si>
  <si>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</si>
  <si>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</si>
  <si>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</si>
  <si>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</si>
  <si>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</si>
  <si>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</si>
  <si>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</si>
  <si>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</si>
  <si>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</si>
  <si>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</si>
  <si>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</si>
  <si>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</si>
  <si>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</si>
  <si>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</si>
  <si>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</si>
  <si>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</si>
  <si>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</si>
  <si>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</si>
  <si>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</si>
  <si>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</si>
  <si>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</si>
  <si>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</si>
  <si>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</si>
  <si>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</si>
  <si>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</si>
  <si>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</si>
  <si>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</si>
  <si>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</si>
  <si>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</si>
  <si>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</si>
  <si>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</si>
  <si>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</si>
  <si>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</si>
  <si>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</si>
  <si>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</si>
  <si>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</si>
  <si>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</si>
  <si>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</si>
  <si>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</si>
  <si>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</si>
  <si>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</si>
  <si>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</si>
  <si>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</si>
  <si>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</si>
  <si>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</si>
  <si>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</si>
  <si>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</si>
  <si>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</si>
  <si>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</si>
  <si>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</si>
  <si>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</si>
  <si>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</si>
  <si>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</si>
  <si>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</si>
  <si>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</si>
  <si>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</si>
  <si>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</si>
  <si>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</si>
  <si>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</si>
  <si>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</si>
  <si>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</si>
  <si>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</si>
  <si>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</si>
  <si>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</si>
  <si>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</si>
  <si>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</si>
  <si>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</si>
  <si>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</si>
  <si>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</si>
  <si>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</si>
  <si>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</si>
  <si>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</si>
  <si>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</si>
  <si>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</si>
  <si>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</si>
  <si>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</si>
  <si>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</si>
  <si>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</si>
  <si>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</si>
  <si>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</si>
  <si>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</si>
  <si>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</si>
  <si>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</si>
  <si>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</si>
  <si>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</si>
  <si>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</si>
  <si>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</si>
  <si>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</si>
  <si>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</si>
  <si>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</si>
  <si>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</si>
  <si>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</si>
  <si>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</si>
  <si>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</si>
  <si>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</si>
  <si>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</si>
  <si>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</si>
  <si>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</si>
  <si>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</si>
  <si>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</si>
  <si>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</si>
  <si>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</si>
  <si>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</si>
  <si>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</si>
  <si>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</si>
  <si>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</si>
  <si>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</si>
  <si>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</si>
  <si>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</si>
  <si>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</si>
  <si>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</si>
  <si>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</si>
  <si>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</si>
  <si>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</si>
  <si>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</si>
  <si>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</si>
  <si>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</si>
  <si>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</si>
  <si>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</si>
  <si>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</si>
  <si>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</si>
  <si>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</si>
  <si>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</si>
  <si>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</si>
  <si>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</si>
  <si>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</si>
  <si>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</si>
  <si>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</si>
  <si>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</si>
  <si>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</si>
  <si>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</si>
  <si>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</si>
  <si>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</si>
  <si>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</si>
  <si>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</si>
  <si>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</si>
  <si>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</si>
  <si>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</si>
  <si>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</si>
  <si>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</si>
  <si>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</si>
  <si>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</si>
  <si>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</si>
  <si>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</si>
  <si>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</si>
  <si>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</si>
  <si>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</si>
  <si>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</si>
  <si>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</si>
  <si>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</si>
  <si>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</si>
  <si>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</si>
  <si>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</si>
  <si>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</si>
  <si>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</si>
  <si>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</si>
  <si>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</si>
  <si>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</si>
  <si>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</si>
  <si>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</si>
  <si>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</si>
  <si>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</si>
  <si>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</si>
  <si>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</si>
  <si>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</si>
  <si>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</si>
  <si>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</si>
  <si>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</si>
  <si>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</si>
  <si>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</si>
  <si>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</si>
  <si>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</si>
  <si>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</si>
  <si>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</si>
  <si>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</si>
  <si>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</si>
  <si>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</si>
  <si>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</si>
  <si>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</si>
  <si>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</si>
  <si>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</si>
  <si>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</si>
  <si>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</si>
  <si>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</si>
  <si>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</si>
  <si>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</si>
  <si>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</si>
  <si>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</si>
  <si>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</si>
  <si>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</si>
  <si>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</si>
  <si>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</si>
  <si>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</si>
  <si>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</si>
  <si>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</si>
  <si>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</si>
  <si>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</si>
  <si>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</si>
  <si>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</si>
  <si>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</si>
  <si>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</si>
  <si>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</si>
  <si>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</si>
  <si>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</si>
  <si>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</si>
  <si>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</si>
  <si>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</si>
  <si>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</si>
  <si>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</si>
  <si>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</si>
  <si>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</si>
  <si>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</si>
  <si>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</si>
  <si>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</si>
  <si>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</si>
  <si>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</si>
  <si>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</si>
  <si>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</si>
  <si>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</si>
  <si>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</si>
  <si>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</si>
  <si>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</si>
  <si>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</si>
  <si>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</si>
  <si>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</si>
  <si>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</si>
  <si>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</si>
  <si>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</si>
  <si>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</si>
  <si>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</si>
  <si>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</si>
  <si>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</si>
  <si>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</si>
  <si>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</si>
  <si>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</si>
  <si>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</si>
  <si>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</si>
  <si>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</si>
  <si>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</si>
  <si>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</si>
  <si>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</si>
  <si>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</si>
  <si>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</si>
  <si>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</si>
  <si>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</si>
  <si>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</si>
  <si>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</si>
  <si>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</si>
  <si>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</si>
  <si>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</si>
  <si>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</si>
  <si>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</si>
  <si>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</si>
  <si>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</si>
  <si>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</si>
  <si>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</si>
  <si>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</si>
  <si>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</si>
  <si>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</si>
  <si>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</si>
  <si>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</si>
  <si>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</si>
  <si>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</si>
  <si>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</si>
  <si>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</si>
  <si>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</si>
  <si>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</si>
  <si>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</si>
  <si>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</si>
  <si>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</si>
  <si>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</si>
  <si>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</si>
  <si>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</si>
  <si>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</si>
  <si>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</si>
  <si>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</si>
  <si>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</si>
  <si>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</si>
  <si>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</si>
  <si>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</si>
  <si>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</si>
  <si>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</si>
  <si>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</si>
  <si>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</si>
  <si>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</si>
  <si>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</si>
  <si>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</si>
  <si>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</si>
  <si>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</si>
  <si>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</si>
  <si>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</si>
  <si>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</si>
  <si>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</si>
  <si>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</si>
  <si>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</si>
  <si>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</si>
  <si>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</si>
  <si>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</si>
  <si>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</si>
  <si>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</si>
  <si>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</si>
  <si>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</si>
  <si>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</si>
  <si>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</si>
  <si>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</si>
  <si>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</si>
  <si>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</si>
  <si>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</si>
  <si>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</si>
  <si>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</si>
  <si>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</si>
  <si>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</si>
  <si>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</si>
  <si>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</si>
  <si>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</si>
  <si>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</si>
  <si>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</si>
  <si>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</si>
  <si>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</si>
  <si>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</si>
  <si>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</si>
  <si>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</si>
  <si>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</si>
  <si>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</si>
  <si>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</si>
  <si>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</si>
  <si>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</si>
  <si>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</si>
  <si>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</si>
  <si>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</si>
  <si>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</si>
  <si>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</si>
  <si>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</si>
  <si>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</si>
  <si>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</si>
  <si>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</si>
  <si>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</si>
  <si>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</si>
  <si>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</si>
  <si>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</si>
  <si>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</si>
  <si>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</si>
  <si>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</si>
  <si>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</si>
  <si>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</si>
  <si>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</si>
  <si>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</si>
  <si>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</si>
  <si>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</si>
  <si>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</si>
  <si>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</si>
  <si>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</si>
  <si>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</si>
  <si>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</si>
  <si>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</si>
  <si>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</si>
  <si>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</si>
  <si>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</si>
  <si>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</si>
  <si>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</si>
  <si>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</si>
  <si>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</si>
  <si>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</si>
  <si>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</si>
  <si>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</si>
  <si>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</si>
  <si>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</si>
  <si>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</si>
  <si>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</si>
  <si>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</si>
  <si>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</si>
  <si>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</si>
  <si>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</si>
  <si>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</si>
  <si>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</si>
  <si>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</si>
  <si>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</si>
  <si>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</si>
  <si>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</si>
  <si>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</si>
  <si>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</si>
  <si>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</si>
  <si>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</si>
  <si>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</si>
  <si>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</si>
  <si>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</si>
  <si>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</si>
  <si>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</si>
  <si>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</si>
  <si>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</si>
  <si>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</si>
  <si>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</si>
  <si>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</si>
  <si>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</si>
  <si>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</si>
  <si>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</si>
  <si>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</si>
  <si>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</si>
  <si>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</si>
  <si>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</si>
  <si>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</si>
  <si>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</si>
  <si>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</si>
  <si>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</si>
  <si>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</si>
  <si>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</si>
  <si>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</si>
  <si>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</si>
  <si>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</si>
  <si>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</si>
  <si>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</si>
  <si>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</si>
  <si>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</si>
  <si>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</si>
  <si>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</si>
  <si>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</si>
  <si>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</si>
  <si>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</si>
  <si>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</si>
  <si>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</si>
  <si>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</si>
  <si>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</si>
  <si>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</si>
  <si>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</si>
  <si>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</si>
  <si>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</si>
  <si>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</si>
  <si>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</si>
  <si>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</si>
  <si>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</si>
  <si>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</si>
  <si>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</si>
  <si>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</si>
  <si>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</si>
  <si>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</si>
  <si>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</si>
  <si>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</si>
  <si>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</si>
  <si>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</si>
  <si>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</si>
  <si>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</si>
  <si>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</si>
  <si>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</si>
  <si>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</si>
  <si>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</si>
  <si>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</si>
  <si>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</si>
  <si>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</si>
  <si>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</si>
  <si>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</si>
  <si>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</si>
  <si>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</si>
  <si>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</si>
  <si>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</si>
  <si>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</si>
  <si>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</si>
  <si>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</si>
  <si>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</si>
  <si>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</si>
  <si>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</si>
  <si>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</si>
  <si>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</si>
  <si>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</si>
  <si>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</si>
  <si>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</si>
  <si>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</si>
  <si>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</si>
  <si>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</si>
  <si>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</si>
  <si>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</si>
  <si>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</si>
  <si>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</si>
  <si>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</si>
  <si>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</si>
  <si>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</si>
  <si>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</si>
  <si>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</si>
  <si>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</si>
  <si>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</si>
  <si>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</si>
  <si>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</si>
  <si>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</si>
  <si>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</si>
  <si>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</si>
  <si>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</si>
  <si>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</si>
  <si>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</si>
  <si>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</si>
  <si>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</si>
  <si>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</si>
  <si>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</si>
  <si>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</si>
  <si>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</si>
  <si>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</si>
  <si>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</si>
  <si>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</si>
  <si>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</si>
  <si>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</si>
  <si>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</si>
  <si>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</si>
  <si>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</si>
  <si>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</si>
  <si>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</si>
  <si>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</si>
  <si>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</si>
  <si>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</si>
  <si>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</si>
  <si>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</si>
  <si>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</si>
  <si>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</si>
  <si>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</si>
  <si>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</si>
  <si>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</si>
  <si>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</si>
  <si>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</si>
  <si>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</si>
  <si>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</si>
  <si>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</si>
  <si>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</si>
  <si>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</si>
  <si>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</si>
  <si>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</si>
  <si>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</si>
  <si>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</si>
  <si>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</si>
  <si>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</si>
  <si>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</si>
  <si>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</si>
  <si>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</si>
  <si>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</si>
  <si>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</si>
  <si>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</si>
  <si>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</si>
  <si>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</si>
  <si>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</si>
  <si>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</si>
  <si>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</si>
  <si>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</si>
  <si>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</si>
  <si>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</si>
  <si>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</si>
  <si>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</si>
  <si>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</si>
  <si>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</si>
  <si>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</si>
  <si>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</si>
  <si>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</si>
  <si>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</si>
  <si>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</si>
  <si>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</si>
  <si>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</si>
  <si>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</si>
  <si>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</si>
  <si>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</si>
  <si>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</si>
  <si>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</si>
  <si>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</si>
  <si>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</si>
  <si>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</si>
  <si>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</si>
  <si>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</si>
  <si>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</si>
  <si>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</si>
  <si>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</si>
  <si>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</si>
  <si>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</si>
  <si>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</si>
  <si>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</si>
  <si>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</si>
  <si>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</si>
  <si>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</si>
  <si>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</si>
  <si>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</si>
  <si>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</si>
  <si>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</si>
  <si>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</si>
  <si>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</si>
  <si>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</si>
  <si>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</si>
  <si>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</si>
  <si>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</si>
  <si>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</si>
  <si>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</si>
  <si>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</si>
  <si>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</si>
  <si>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</si>
  <si>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</si>
  <si>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</si>
  <si>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</si>
  <si>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</si>
  <si>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</si>
  <si>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</si>
  <si>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</si>
  <si>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</si>
  <si>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</si>
  <si>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</si>
  <si>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</si>
  <si>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</si>
  <si>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</si>
  <si>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</si>
  <si>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</si>
  <si>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</si>
  <si>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</si>
  <si>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</si>
  <si>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</si>
  <si>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</si>
  <si>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</si>
  <si>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</si>
  <si>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</si>
  <si>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</si>
  <si>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</si>
  <si>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</si>
  <si>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</si>
  <si>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</si>
  <si>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</si>
  <si>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</si>
  <si>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</si>
  <si>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</si>
  <si>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</si>
  <si>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</si>
  <si>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</si>
  <si>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</si>
  <si>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</si>
  <si>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</si>
  <si>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</si>
  <si>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</si>
  <si>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</si>
  <si>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</si>
  <si>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</si>
  <si>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</si>
  <si>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</si>
  <si>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</si>
  <si>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</si>
  <si>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</si>
  <si>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</si>
  <si>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</si>
  <si>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</si>
  <si>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</si>
  <si>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</si>
  <si>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</si>
  <si>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</si>
  <si>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</si>
  <si>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</si>
  <si>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</si>
  <si>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</si>
  <si>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</si>
  <si>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</si>
  <si>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</si>
  <si>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</si>
  <si>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</si>
  <si>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</si>
  <si>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</si>
  <si>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</si>
  <si>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</si>
  <si>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</si>
  <si>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</si>
  <si>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</si>
  <si>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</si>
  <si>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</si>
  <si>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</si>
  <si>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</si>
  <si>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</si>
  <si>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</si>
  <si>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</si>
  <si>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</si>
  <si>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</si>
  <si>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</si>
  <si>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</si>
  <si>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</si>
  <si>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</si>
  <si>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</si>
  <si>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</si>
  <si>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</si>
  <si>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</si>
  <si>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</si>
  <si>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</si>
  <si>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</si>
  <si>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</si>
  <si>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</si>
  <si>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</si>
  <si>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</si>
  <si>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</si>
  <si>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</si>
  <si>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</si>
  <si>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</si>
  <si>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</si>
  <si>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</si>
  <si>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</si>
  <si>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</si>
  <si>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</si>
  <si>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</si>
  <si>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</si>
  <si>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</si>
  <si>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</si>
  <si>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</si>
  <si>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</si>
  <si>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</si>
  <si>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</si>
  <si>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</si>
  <si>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</si>
  <si>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</si>
  <si>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</si>
  <si>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</si>
  <si>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</si>
  <si>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</si>
  <si>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</si>
  <si>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</si>
  <si>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</si>
  <si>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</si>
  <si>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</si>
  <si>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</si>
  <si>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</si>
  <si>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</si>
  <si>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</si>
  <si>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</si>
  <si>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</si>
  <si>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</si>
  <si>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</si>
  <si>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</si>
  <si>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</si>
  <si>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</si>
  <si>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</si>
  <si>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</si>
  <si>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</si>
  <si>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</si>
  <si>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</si>
  <si>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</si>
  <si>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</si>
  <si>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</si>
  <si>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</si>
  <si>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</si>
  <si>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</si>
  <si>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</si>
  <si>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</si>
  <si>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</si>
  <si>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</si>
  <si>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</si>
  <si>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</si>
  <si>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</si>
  <si>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</si>
  <si>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</si>
  <si>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</si>
  <si>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</si>
  <si>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</si>
  <si>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</si>
  <si>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</si>
  <si>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</si>
  <si>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</si>
  <si>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</si>
  <si>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</si>
  <si>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</si>
  <si>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</si>
  <si>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</si>
  <si>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</si>
  <si>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</si>
  <si>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</si>
  <si>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</si>
  <si>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</si>
  <si>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</si>
  <si>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</si>
  <si>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</si>
  <si>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</si>
  <si>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</si>
  <si>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</si>
  <si>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</si>
  <si>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</si>
  <si>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</si>
  <si>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</si>
  <si>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</si>
  <si>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</si>
  <si>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</si>
  <si>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</si>
  <si>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</si>
  <si>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</si>
  <si>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</si>
  <si>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</si>
  <si>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</si>
  <si>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</si>
  <si>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</si>
  <si>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</si>
  <si>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</si>
  <si>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</si>
  <si>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</si>
  <si>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</si>
  <si>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</si>
  <si>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</si>
  <si>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</si>
  <si>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</si>
  <si>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</si>
  <si>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</si>
  <si>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</si>
  <si>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</si>
  <si>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</si>
  <si>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</si>
  <si>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</si>
  <si>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</si>
  <si>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</si>
  <si>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</si>
  <si>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</si>
  <si>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</si>
  <si>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</si>
  <si>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</si>
  <si>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</si>
  <si>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</si>
  <si>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</si>
  <si>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</si>
  <si>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</si>
  <si>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</si>
  <si>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</si>
  <si>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</si>
  <si>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</si>
  <si>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</si>
  <si>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</si>
  <si>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</si>
  <si>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</si>
  <si>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</si>
  <si>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</si>
  <si>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</si>
  <si>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</si>
  <si>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</si>
  <si>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</si>
  <si>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</si>
  <si>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</si>
  <si>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</si>
  <si>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</si>
  <si>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</si>
  <si>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</si>
  <si>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</si>
  <si>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</si>
  <si>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</si>
  <si>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</si>
  <si>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</si>
  <si>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</si>
  <si>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</si>
  <si>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</si>
  <si>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</si>
  <si>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</si>
  <si>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</si>
  <si>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</si>
  <si>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</si>
  <si>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</si>
  <si>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</si>
  <si>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</si>
  <si>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</si>
  <si>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</si>
  <si>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</si>
  <si>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</si>
  <si>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</si>
  <si>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</si>
  <si>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</si>
  <si>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</si>
  <si>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</si>
  <si>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</si>
  <si>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</si>
  <si>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</si>
  <si>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</si>
  <si>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</si>
  <si>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</si>
  <si>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</si>
  <si>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</si>
  <si>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</si>
  <si>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</si>
  <si>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</si>
  <si>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</si>
  <si>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</si>
  <si>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</si>
  <si>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</si>
  <si>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</si>
  <si>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</si>
  <si>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</si>
  <si>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</si>
  <si>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</si>
  <si>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</si>
  <si>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</si>
  <si>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</si>
  <si>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</si>
  <si>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</si>
  <si>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</si>
  <si>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</si>
  <si>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</si>
  <si>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</si>
  <si>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</si>
  <si>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</si>
  <si>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</si>
  <si>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</si>
  <si>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</si>
  <si>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</si>
  <si>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</si>
  <si>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</si>
  <si>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</si>
  <si>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</si>
  <si>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</si>
  <si>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</si>
  <si>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</si>
  <si>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</si>
  <si>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</si>
  <si>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</si>
  <si>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</si>
  <si>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</si>
  <si>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</si>
  <si>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</si>
  <si>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</si>
  <si>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</si>
  <si>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</si>
  <si>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</si>
  <si>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</si>
  <si>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</si>
  <si>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</si>
  <si>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</si>
  <si>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</si>
  <si>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</si>
  <si>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</si>
  <si>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</si>
  <si>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</si>
  <si>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</si>
  <si>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</si>
  <si>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</si>
  <si>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</si>
  <si>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</si>
  <si>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</si>
  <si>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</si>
  <si>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</si>
  <si>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</si>
  <si>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</si>
  <si>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</si>
  <si>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</si>
  <si>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</si>
  <si>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</si>
  <si>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</si>
  <si>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</si>
  <si>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</si>
  <si>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</si>
  <si>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</si>
  <si>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</si>
  <si>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</si>
  <si>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</si>
  <si>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</si>
  <si>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</si>
  <si>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</si>
  <si>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</si>
  <si>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</si>
  <si>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</si>
  <si>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</si>
  <si>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</si>
  <si>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</si>
  <si>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</si>
  <si>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</si>
  <si>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</si>
  <si>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</si>
  <si>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</si>
  <si>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</si>
  <si>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</si>
  <si>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</si>
  <si>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</si>
  <si>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</si>
  <si>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</si>
  <si>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</si>
  <si>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</si>
  <si>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</si>
  <si>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</si>
  <si>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</si>
  <si>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</si>
  <si>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</si>
  <si>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</si>
  <si>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</si>
  <si>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</si>
  <si>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</si>
  <si>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</si>
  <si>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</si>
  <si>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</si>
  <si>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</si>
  <si>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</si>
  <si>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</si>
  <si>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</si>
  <si>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</si>
  <si>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</si>
  <si>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</si>
  <si>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</si>
  <si>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</si>
  <si>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</si>
  <si>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</si>
  <si>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</si>
  <si>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</si>
  <si>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</si>
  <si>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</si>
  <si>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</si>
  <si>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</si>
  <si>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</si>
  <si>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</si>
  <si>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</si>
  <si>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</si>
  <si>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</si>
  <si>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</si>
  <si>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</si>
  <si>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</si>
  <si>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</si>
  <si>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</si>
  <si>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</si>
  <si>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</si>
  <si>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</si>
  <si>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</si>
  <si>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</si>
  <si>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</si>
  <si>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</si>
  <si>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</si>
  <si>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</si>
  <si>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</si>
  <si>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</si>
  <si>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</si>
  <si>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</si>
  <si>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</si>
  <si>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</si>
  <si>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</si>
  <si>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</si>
  <si>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</si>
  <si>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</si>
  <si>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</si>
  <si>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</si>
  <si>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</si>
  <si>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</si>
  <si>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</si>
  <si>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</si>
  <si>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</si>
  <si>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</si>
  <si>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</si>
  <si>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</si>
  <si>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</si>
  <si>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</si>
  <si>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</si>
  <si>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</si>
  <si>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</si>
  <si>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</si>
  <si>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</si>
  <si>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</si>
  <si>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</si>
  <si>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</si>
  <si>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</si>
  <si>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</si>
  <si>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</si>
  <si>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</si>
  <si>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</si>
  <si>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</si>
  <si>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</si>
  <si>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</si>
  <si>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</si>
  <si>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</si>
  <si>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</si>
  <si>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</si>
  <si>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</si>
  <si>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</si>
  <si>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</si>
  <si>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</si>
  <si>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</si>
  <si>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</si>
  <si>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</si>
  <si>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</si>
  <si>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</si>
  <si>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</si>
  <si>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</si>
  <si>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</si>
  <si>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</si>
  <si>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</si>
  <si>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</si>
  <si>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</si>
  <si>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</si>
  <si>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</si>
  <si>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</si>
  <si>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</si>
  <si>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</si>
  <si>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</si>
  <si>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</si>
  <si>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</si>
  <si>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</si>
  <si>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</si>
  <si>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</si>
  <si>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</si>
  <si>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</si>
  <si>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</si>
  <si>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</si>
  <si>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</si>
  <si>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</si>
  <si>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</si>
  <si>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</si>
  <si>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</si>
  <si>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</si>
  <si>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</si>
  <si>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</si>
  <si>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</si>
  <si>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</si>
  <si>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</si>
  <si>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</si>
  <si>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</si>
  <si>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</si>
  <si>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</si>
  <si>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</si>
  <si>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</si>
  <si>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</si>
  <si>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</si>
  <si>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</si>
  <si>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</si>
  <si>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</si>
  <si>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</si>
  <si>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</si>
  <si>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</si>
  <si>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</si>
  <si>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</si>
  <si>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</si>
  <si>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</si>
  <si>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</si>
  <si>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</si>
  <si>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</si>
  <si>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</si>
  <si>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</si>
  <si>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</si>
  <si>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</si>
  <si>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</si>
  <si>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</si>
  <si>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</si>
  <si>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</si>
  <si>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</si>
  <si>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</si>
  <si>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</si>
  <si>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</si>
  <si>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</si>
  <si>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</si>
  <si>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</si>
  <si>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</si>
  <si>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</si>
  <si>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</si>
  <si>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</si>
  <si>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</si>
  <si>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</si>
  <si>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</si>
  <si>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</si>
  <si>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</si>
  <si>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</si>
  <si>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</si>
  <si>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</si>
  <si>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</si>
  <si>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</si>
  <si>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</si>
  <si>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</si>
  <si>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</si>
  <si>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</si>
  <si>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</si>
  <si>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</si>
  <si>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</si>
  <si>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</si>
  <si>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</si>
  <si>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</si>
  <si>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</si>
  <si>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</si>
  <si>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</si>
  <si>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</si>
  <si>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</si>
  <si>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</si>
  <si>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</si>
  <si>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</si>
  <si>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</si>
  <si>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</si>
  <si>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</si>
  <si>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</si>
  <si>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</si>
  <si>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</si>
  <si>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</si>
  <si>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</si>
  <si>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</si>
  <si>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</si>
  <si>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</si>
  <si>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</si>
  <si>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</si>
  <si>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</si>
  <si>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</si>
  <si>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</si>
  <si>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</si>
  <si>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</si>
  <si>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</si>
  <si>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</si>
  <si>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</si>
  <si>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</si>
  <si>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</si>
  <si>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</si>
  <si>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</si>
  <si>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</si>
  <si>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</si>
  <si>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</si>
  <si>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</si>
  <si>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</si>
  <si>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</si>
  <si>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</si>
  <si>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</si>
  <si>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</si>
  <si>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</si>
  <si>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</si>
  <si>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</si>
  <si>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</si>
  <si>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</si>
  <si>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</si>
  <si>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</si>
  <si>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</si>
  <si>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</si>
  <si>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</si>
  <si>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</si>
  <si>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</si>
  <si>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</si>
  <si>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</si>
  <si>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</si>
  <si>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</si>
  <si>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</si>
  <si>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</si>
  <si>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</si>
  <si>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</si>
  <si>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</si>
  <si>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</si>
  <si>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</si>
  <si>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</si>
  <si>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</si>
  <si>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</si>
  <si>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</si>
  <si>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</si>
  <si>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</si>
  <si>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</si>
  <si>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</si>
  <si>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</si>
  <si>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</si>
  <si>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</si>
  <si>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</si>
  <si>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</si>
  <si>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</si>
  <si>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</si>
  <si>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</si>
  <si>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</si>
  <si>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</si>
  <si>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</si>
  <si>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</si>
  <si>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</si>
  <si>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</si>
  <si>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</si>
  <si>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</si>
  <si>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</si>
  <si>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</si>
  <si>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</si>
  <si>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</si>
  <si>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</si>
  <si>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</si>
  <si>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</si>
  <si>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</si>
  <si>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</si>
  <si>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</si>
  <si>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</si>
  <si>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</si>
  <si>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</si>
  <si>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</si>
  <si>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</si>
  <si>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</si>
  <si>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</si>
  <si>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</si>
  <si>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</si>
  <si>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</si>
  <si>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</si>
  <si>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</si>
  <si>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</si>
  <si>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</si>
  <si>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</si>
  <si>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</si>
  <si>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</si>
  <si>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</si>
  <si>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</si>
  <si>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</si>
  <si>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</si>
  <si>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</si>
  <si>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</si>
  <si>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</si>
  <si>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</si>
  <si>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</si>
  <si>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</si>
  <si>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</si>
  <si>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</si>
  <si>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</si>
  <si>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</si>
  <si>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</si>
  <si>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</si>
  <si>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</si>
  <si>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</si>
  <si>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</si>
  <si>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</si>
  <si>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</si>
  <si>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</si>
  <si>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</si>
  <si>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</si>
  <si>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</si>
  <si>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</si>
  <si>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</si>
  <si>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</si>
  <si>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</si>
  <si>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</si>
  <si>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</si>
  <si>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</si>
  <si>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</si>
  <si>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</si>
  <si>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</si>
  <si>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</si>
  <si>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</si>
  <si>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</si>
  <si>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</si>
  <si>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</si>
  <si>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</si>
  <si>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</si>
  <si>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</si>
  <si>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</si>
  <si>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</si>
  <si>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</si>
  <si>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</si>
  <si>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</si>
  <si>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</si>
  <si>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</si>
  <si>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</si>
  <si>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</si>
  <si>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</si>
  <si>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</si>
  <si>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</si>
  <si>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</si>
  <si>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</si>
  <si>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</si>
  <si>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</si>
  <si>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</si>
  <si>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</si>
  <si>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</si>
  <si>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</si>
  <si>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</si>
  <si>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</si>
  <si>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</si>
  <si>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</si>
  <si>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</si>
  <si>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</si>
  <si>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</si>
  <si>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</si>
  <si>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</si>
  <si>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</si>
  <si>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</si>
  <si>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</si>
  <si>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</si>
  <si>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</si>
  <si>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</si>
  <si>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</si>
  <si>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</si>
  <si>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</si>
  <si>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</si>
  <si>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</si>
  <si>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</si>
  <si>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</si>
  <si>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</si>
  <si>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</si>
  <si>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</si>
  <si>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</si>
  <si>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</si>
  <si>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</si>
  <si>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</si>
  <si>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</si>
  <si>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</si>
  <si>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</si>
  <si>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</si>
  <si>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</si>
  <si>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</si>
  <si>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</si>
  <si>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</si>
  <si>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</si>
  <si>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</si>
  <si>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</si>
  <si>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</si>
  <si>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</si>
  <si>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</si>
  <si>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</si>
  <si>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</si>
  <si>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</si>
  <si>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</si>
  <si>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</si>
  <si>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</si>
  <si>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</si>
  <si>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</si>
  <si>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</si>
  <si>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</si>
  <si>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</si>
  <si>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</si>
  <si>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</si>
  <si>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</si>
  <si>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</si>
  <si>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</si>
  <si>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</si>
  <si>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</si>
  <si>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</si>
  <si>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</si>
  <si>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</si>
  <si>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</si>
  <si>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</si>
  <si>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</si>
  <si>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</si>
  <si>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</si>
  <si>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</si>
  <si>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</si>
  <si>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</si>
  <si>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</si>
  <si>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</si>
  <si>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</si>
  <si>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</si>
  <si>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</si>
  <si>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</si>
  <si>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</si>
  <si>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</si>
  <si>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</si>
  <si>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</si>
  <si>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</si>
  <si>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</si>
  <si>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</si>
  <si>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</si>
  <si>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</si>
  <si>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</si>
  <si>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</si>
  <si>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</si>
  <si>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</si>
  <si>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</si>
  <si>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</si>
  <si>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</si>
  <si>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</si>
  <si>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</si>
  <si>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</si>
  <si>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</si>
  <si>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</si>
  <si>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</si>
  <si>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</si>
  <si>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</si>
  <si>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</si>
  <si>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</si>
  <si>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</si>
  <si>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</si>
  <si>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</si>
  <si>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</si>
  <si>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</si>
  <si>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</si>
  <si>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</si>
  <si>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</si>
  <si>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</si>
  <si>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</si>
  <si>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</si>
  <si>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</si>
  <si>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</si>
  <si>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</si>
  <si>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</si>
  <si>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</si>
  <si>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</si>
  <si>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</si>
  <si>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</si>
  <si>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</si>
  <si>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</si>
  <si>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</si>
  <si>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</si>
  <si>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</si>
  <si>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</si>
  <si>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</si>
  <si>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</si>
  <si>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</si>
  <si>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</si>
  <si>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</si>
  <si>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</si>
  <si>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</si>
  <si>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</si>
  <si>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</si>
  <si>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</si>
  <si>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</si>
  <si>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</si>
  <si>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</si>
  <si>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</si>
  <si>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</si>
  <si>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</si>
  <si>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</si>
  <si>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</si>
  <si>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</si>
  <si>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</si>
  <si>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</si>
  <si>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</si>
  <si>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</si>
  <si>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</si>
  <si>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</si>
  <si>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</si>
  <si>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</si>
  <si>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</si>
  <si>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</si>
  <si>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</si>
  <si>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</si>
  <si>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</si>
  <si>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</si>
  <si>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</si>
  <si>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</si>
  <si>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</si>
  <si>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</si>
  <si>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</si>
  <si>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</si>
  <si>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</si>
  <si>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</si>
  <si>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</si>
  <si>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</si>
  <si>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</si>
  <si>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</si>
  <si>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</si>
  <si>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</si>
  <si>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</si>
  <si>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</si>
  <si>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</si>
  <si>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</si>
  <si>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</si>
  <si>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</si>
  <si>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</si>
  <si>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</si>
  <si>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</si>
  <si>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</si>
  <si>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</si>
  <si>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</si>
  <si>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</si>
  <si>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</si>
  <si>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</si>
  <si>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</si>
  <si>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</si>
  <si>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</si>
  <si>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</si>
  <si>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</si>
  <si>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</si>
  <si>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</si>
  <si>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</si>
  <si>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</si>
  <si>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</si>
  <si>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</si>
  <si>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</si>
  <si>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</si>
  <si>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</si>
  <si>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</si>
  <si>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</si>
  <si>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</si>
  <si>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</si>
  <si>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</si>
  <si>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</si>
  <si>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</si>
  <si>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</si>
  <si>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</si>
  <si>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</si>
  <si>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</si>
  <si>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</si>
  <si>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</si>
  <si>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</si>
  <si>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</si>
  <si>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</si>
  <si>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</si>
  <si>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</si>
  <si>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</si>
  <si>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</si>
  <si>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</si>
  <si>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</si>
  <si>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</si>
  <si>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</si>
  <si>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</si>
  <si>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</si>
  <si>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</si>
  <si>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</si>
  <si>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</si>
  <si>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</si>
  <si>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</si>
  <si>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</si>
  <si>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</si>
  <si>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</si>
  <si>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</si>
  <si>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</si>
  <si>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</si>
  <si>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</si>
  <si>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</si>
  <si>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</si>
  <si>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</si>
  <si>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</si>
  <si>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</si>
  <si>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</si>
  <si>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</si>
  <si>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</si>
  <si>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</si>
  <si>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</si>
  <si>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</si>
  <si>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</si>
  <si>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</si>
  <si>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</si>
  <si>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</si>
  <si>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</si>
  <si>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</si>
  <si>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</si>
  <si>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</si>
  <si>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</si>
  <si>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</si>
  <si>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</si>
  <si>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</si>
  <si>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</si>
  <si>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</si>
  <si>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</si>
  <si>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</si>
  <si>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</si>
  <si>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</si>
  <si>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</si>
  <si>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</si>
  <si>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</si>
  <si>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</si>
  <si>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</si>
  <si>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</si>
  <si>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</si>
  <si>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</si>
  <si>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</si>
  <si>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</si>
  <si>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</si>
  <si>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</si>
  <si>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</si>
  <si>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</si>
  <si>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</si>
  <si>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</si>
  <si>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</si>
  <si>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</si>
  <si>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</si>
  <si>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</si>
  <si>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</si>
  <si>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</si>
  <si>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</si>
  <si>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</si>
  <si>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</si>
  <si>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</si>
  <si>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</si>
  <si>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</si>
  <si>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</si>
  <si>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</si>
  <si>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</si>
  <si>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</si>
  <si>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</si>
  <si>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</si>
  <si>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</si>
  <si>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</si>
  <si>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</si>
  <si>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</si>
  <si>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</si>
  <si>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</si>
  <si>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</si>
  <si>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</si>
  <si>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</si>
  <si>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</si>
  <si>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</si>
  <si>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</si>
  <si>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</si>
  <si>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</si>
  <si>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</si>
  <si>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</si>
  <si>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</si>
  <si>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</si>
  <si>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</si>
  <si>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</si>
  <si>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</si>
  <si>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</si>
  <si>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</si>
  <si>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</si>
  <si>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</si>
  <si>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</si>
  <si>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</si>
  <si>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</si>
  <si>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</si>
  <si>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</si>
  <si>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</si>
  <si>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</si>
  <si>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</si>
  <si>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</si>
  <si>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</si>
  <si>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</si>
  <si>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</si>
  <si>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</si>
  <si>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</si>
  <si>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</si>
  <si>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</si>
  <si>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</si>
  <si>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</si>
  <si>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</si>
  <si>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</si>
  <si>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</si>
  <si>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</si>
  <si>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</si>
  <si>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</si>
  <si>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</si>
  <si>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</si>
  <si>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</si>
  <si>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</si>
  <si>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</si>
  <si>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</si>
  <si>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</si>
  <si>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</si>
  <si>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</si>
  <si>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</si>
  <si>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</si>
  <si>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</si>
  <si>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</si>
  <si>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</si>
  <si>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</si>
  <si>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</si>
  <si>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</si>
  <si>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</si>
  <si>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</si>
  <si>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</si>
  <si>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</si>
  <si>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</si>
  <si>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</si>
  <si>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</si>
  <si>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</si>
  <si>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</si>
  <si>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</si>
  <si>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</si>
  <si>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</si>
  <si>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</si>
  <si>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</si>
  <si>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</si>
  <si>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</si>
  <si>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</si>
  <si>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</si>
  <si>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</si>
  <si>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</si>
  <si>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</si>
  <si>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</si>
  <si>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</si>
  <si>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</si>
  <si>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</si>
  <si>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</si>
  <si>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</si>
  <si>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</si>
  <si>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</si>
  <si>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</si>
  <si>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</si>
  <si>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</si>
  <si>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</si>
  <si>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</si>
  <si>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</si>
  <si>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</si>
  <si>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</si>
  <si>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</si>
  <si>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</si>
  <si>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</si>
  <si>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</si>
  <si>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</si>
  <si>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</si>
  <si>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</si>
  <si>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</si>
  <si>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</si>
  <si>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</si>
  <si>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</si>
  <si>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</si>
  <si>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</si>
  <si>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</si>
  <si>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</si>
  <si>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</si>
  <si>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</si>
  <si>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</si>
  <si>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</si>
  <si>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</si>
  <si>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</si>
  <si>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</si>
  <si>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</si>
  <si>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</si>
  <si>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</si>
  <si>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</si>
  <si>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</si>
  <si>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</si>
  <si>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</si>
  <si>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</si>
  <si>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</si>
  <si>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</si>
  <si>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</si>
  <si>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</si>
  <si>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</si>
  <si>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</si>
  <si>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</si>
  <si>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</si>
  <si>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</si>
  <si>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</si>
  <si>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</si>
  <si>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</si>
  <si>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</si>
  <si>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</si>
  <si>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</si>
  <si>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</si>
  <si>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</si>
  <si>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</si>
  <si>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</si>
  <si>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</si>
  <si>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</si>
  <si>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</si>
  <si>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</si>
  <si>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</si>
  <si>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</si>
  <si>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</si>
  <si>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</si>
  <si>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</si>
  <si>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</si>
  <si>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</si>
  <si>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</si>
  <si>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</si>
  <si>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</si>
  <si>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</si>
  <si>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</si>
  <si>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</si>
  <si>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</si>
  <si>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</si>
  <si>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</si>
  <si>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</si>
  <si>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</si>
  <si>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</si>
  <si>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</si>
  <si>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</si>
  <si>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</si>
  <si>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</si>
  <si>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</si>
  <si>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</si>
  <si>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</si>
  <si>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</si>
  <si>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</si>
  <si>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</si>
  <si>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</si>
  <si>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</si>
  <si>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</si>
  <si>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</si>
  <si>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</si>
  <si>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</si>
  <si>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</si>
  <si>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</si>
  <si>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</si>
  <si>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</si>
  <si>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</si>
  <si>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</si>
  <si>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</si>
  <si>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</si>
  <si>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</si>
  <si>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</si>
  <si>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</si>
  <si>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</si>
  <si>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</si>
  <si>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</si>
  <si>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</si>
  <si>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</si>
  <si>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</si>
  <si>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</si>
  <si>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</si>
  <si>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</si>
  <si>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</si>
  <si>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</si>
  <si>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</si>
  <si>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</si>
  <si>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</si>
  <si>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</si>
  <si>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</si>
  <si>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</si>
  <si>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</si>
  <si>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</si>
  <si>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</si>
  <si>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</si>
  <si>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</si>
  <si>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</si>
  <si>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</si>
  <si>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</si>
  <si>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</si>
  <si>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</si>
  <si>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</si>
  <si>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</si>
  <si>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</si>
  <si>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</si>
  <si>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</si>
  <si>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</si>
  <si>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</si>
  <si>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</si>
  <si>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</si>
  <si>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</si>
  <si>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</si>
  <si>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</si>
  <si>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</si>
  <si>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</si>
  <si>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</si>
  <si>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</si>
  <si>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</si>
  <si>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</si>
  <si>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</si>
  <si>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</si>
  <si>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</si>
  <si>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</si>
  <si>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</si>
  <si>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</si>
  <si>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</si>
  <si>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</si>
  <si>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</si>
  <si>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</si>
  <si>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</si>
  <si>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</si>
  <si>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</si>
  <si>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</si>
  <si>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</si>
  <si>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</si>
  <si>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</si>
  <si>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</si>
  <si>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</si>
  <si>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</si>
  <si>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</si>
  <si>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</si>
  <si>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</si>
  <si>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</si>
  <si>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</si>
  <si>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</si>
  <si>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</si>
  <si>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</si>
  <si>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</si>
  <si>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</si>
  <si>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</si>
  <si>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</si>
  <si>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</si>
  <si>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</si>
  <si>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</si>
  <si>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</si>
  <si>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</si>
  <si>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</si>
  <si>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</si>
  <si>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</si>
  <si>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</si>
  <si>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</si>
  <si>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</si>
  <si>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</si>
  <si>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</si>
  <si>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</si>
  <si>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</si>
  <si>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</si>
  <si>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</si>
  <si>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</si>
  <si>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</si>
  <si>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</si>
  <si>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</si>
  <si>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</si>
  <si>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</si>
  <si>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</si>
  <si>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</si>
  <si>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</si>
  <si>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</si>
  <si>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</si>
  <si>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</si>
  <si>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</si>
  <si>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</si>
  <si>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</si>
  <si>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</si>
  <si>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</si>
  <si>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</si>
  <si>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</si>
  <si>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</si>
  <si>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</si>
  <si>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</si>
  <si>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</si>
  <si>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</si>
  <si>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</si>
  <si>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</si>
  <si>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</si>
  <si>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</si>
  <si>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</si>
  <si>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</si>
  <si>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</si>
  <si>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</si>
  <si>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</si>
  <si>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</si>
  <si>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</si>
  <si>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</si>
  <si>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</si>
  <si>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</si>
  <si>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</si>
  <si>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</si>
  <si>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</si>
  <si>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</si>
  <si>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</si>
  <si>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</si>
  <si>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</si>
  <si>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</si>
  <si>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</si>
  <si>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</si>
  <si>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</si>
  <si>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</si>
  <si>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</si>
  <si>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</si>
  <si>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</si>
  <si>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</si>
  <si>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</si>
  <si>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</si>
  <si>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</si>
  <si>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</si>
  <si>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</si>
  <si>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</si>
  <si>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</si>
  <si>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</si>
  <si>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</si>
  <si>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</si>
  <si>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</si>
  <si>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</si>
  <si>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</si>
  <si>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</si>
  <si>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</si>
  <si>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</si>
  <si>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</si>
  <si>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</si>
  <si>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</si>
  <si>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</si>
  <si>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</si>
  <si>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</si>
  <si>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</si>
  <si>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</si>
  <si>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</si>
  <si>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</si>
  <si>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</si>
  <si>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</si>
  <si>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</si>
  <si>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</si>
  <si>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</si>
  <si>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</si>
  <si>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</si>
  <si>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</si>
  <si>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</si>
  <si>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</si>
  <si>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</si>
  <si>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</si>
  <si>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</si>
  <si>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</si>
  <si>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</si>
  <si>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</si>
  <si>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</si>
  <si>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</si>
  <si>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</si>
  <si>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</si>
  <si>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</si>
  <si>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</si>
  <si>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</si>
  <si>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</si>
  <si>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</si>
  <si>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</si>
  <si>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</si>
  <si>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</si>
  <si>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</si>
  <si>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</si>
  <si>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</si>
  <si>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</si>
  <si>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</si>
  <si>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</si>
  <si>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</si>
  <si>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</si>
  <si>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</si>
  <si>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</si>
  <si>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</si>
  <si>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</si>
  <si>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</si>
  <si>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</si>
  <si>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</si>
  <si>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</si>
  <si>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</si>
  <si>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</si>
  <si>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</si>
  <si>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</si>
  <si>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</si>
  <si>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</si>
  <si>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</si>
  <si>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</si>
  <si>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</si>
  <si>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</si>
  <si>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</si>
  <si>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</si>
  <si>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</si>
  <si>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</si>
  <si>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</si>
  <si>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</si>
  <si>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</si>
  <si>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</si>
  <si>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</si>
  <si>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</si>
  <si>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</si>
  <si>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</si>
  <si>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</si>
  <si>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</si>
  <si>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</si>
  <si>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</si>
  <si>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</si>
  <si>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</si>
  <si>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</si>
  <si>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</si>
  <si>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</si>
  <si>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</si>
  <si>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</si>
  <si>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</si>
  <si>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</si>
  <si>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</si>
  <si>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</si>
  <si>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</si>
  <si>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</si>
  <si>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</si>
  <si>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</si>
  <si>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</si>
  <si>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</si>
  <si>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</si>
  <si>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</si>
  <si>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</si>
  <si>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</si>
  <si>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</si>
  <si>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</si>
  <si>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</si>
  <si>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</si>
  <si>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</si>
  <si>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</si>
  <si>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</si>
  <si>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</si>
  <si>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</si>
  <si>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</si>
  <si>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</si>
  <si>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</si>
  <si>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</si>
  <si>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</si>
  <si>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</si>
  <si>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</si>
  <si>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</si>
  <si>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</si>
  <si>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</si>
  <si>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</si>
  <si>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</si>
  <si>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</si>
  <si>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</si>
  <si>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</si>
  <si>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</si>
  <si>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</si>
  <si>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</si>
  <si>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</si>
  <si>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</si>
  <si>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</si>
  <si>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</si>
  <si>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</si>
  <si>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</si>
  <si>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</si>
  <si>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</si>
  <si>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</si>
  <si>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</si>
  <si>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</si>
  <si>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</si>
  <si>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</si>
  <si>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</si>
  <si>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</si>
  <si>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</si>
  <si>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</si>
  <si>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</si>
  <si>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</si>
  <si>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</si>
  <si>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</si>
  <si>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</si>
  <si>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</si>
  <si>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</si>
  <si>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</si>
  <si>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</si>
  <si>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</si>
  <si>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</si>
  <si>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</si>
  <si>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</si>
  <si>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</si>
  <si>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</si>
  <si>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</si>
  <si>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</si>
  <si>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</si>
  <si>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</si>
  <si>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</si>
  <si>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</si>
  <si>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</si>
  <si>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</si>
  <si>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</si>
  <si>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</si>
  <si>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</si>
  <si>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</si>
  <si>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</si>
  <si>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</si>
  <si>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</si>
  <si>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</si>
  <si>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</si>
  <si>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</si>
  <si>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</si>
  <si>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</si>
  <si>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</si>
  <si>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</si>
  <si>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</si>
  <si>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</si>
  <si>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</si>
  <si>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</si>
  <si>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</si>
  <si>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</si>
  <si>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</si>
  <si>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</si>
  <si>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</si>
  <si>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</si>
  <si>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</si>
  <si>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</si>
  <si>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</si>
  <si>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</si>
  <si>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</si>
  <si>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</si>
  <si>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</si>
  <si>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</si>
  <si>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</si>
  <si>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</si>
  <si>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</si>
  <si>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</si>
  <si>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</si>
  <si>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</si>
  <si>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</si>
  <si>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</si>
  <si>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</si>
  <si>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</si>
  <si>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</si>
  <si>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</si>
  <si>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</si>
  <si>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</si>
  <si>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</si>
  <si>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</si>
  <si>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</si>
  <si>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</si>
  <si>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</si>
  <si>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</si>
  <si>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</si>
  <si>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</si>
  <si>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</si>
  <si>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</si>
  <si>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</si>
  <si>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</si>
  <si>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</si>
  <si>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</si>
  <si>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</si>
  <si>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</si>
  <si>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</si>
  <si>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</si>
  <si>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</si>
  <si>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</si>
  <si>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</si>
  <si>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</si>
  <si>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</si>
  <si>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</si>
  <si>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</si>
  <si>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</si>
  <si>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</si>
  <si>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</si>
  <si>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</si>
  <si>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</si>
  <si>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</si>
  <si>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</si>
  <si>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</si>
  <si>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</si>
  <si>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</si>
  <si>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</si>
  <si>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</si>
  <si>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</si>
  <si>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</si>
  <si>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</si>
  <si>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</si>
  <si>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</si>
  <si>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</si>
  <si>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</si>
  <si>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</si>
  <si>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</si>
  <si>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</si>
  <si>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</si>
  <si>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</si>
  <si>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</si>
  <si>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</si>
  <si>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</si>
  <si>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</si>
  <si>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</si>
  <si>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</si>
  <si>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</si>
  <si>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</si>
  <si>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</si>
  <si>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</si>
  <si>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</si>
  <si>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</si>
  <si>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</si>
  <si>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</si>
  <si>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</si>
  <si>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</si>
  <si>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</si>
  <si>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</si>
  <si>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</si>
  <si>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</si>
  <si>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</si>
  <si>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</si>
  <si>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</si>
  <si>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</si>
  <si>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</si>
  <si>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</si>
  <si>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</si>
  <si>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</si>
  <si>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</si>
  <si>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</si>
  <si>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</si>
  <si>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</si>
  <si>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</si>
  <si>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</si>
  <si>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</si>
  <si>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</si>
  <si>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</si>
  <si>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</si>
  <si>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</si>
  <si>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</si>
  <si>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</si>
  <si>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</si>
  <si>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</si>
  <si>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</si>
  <si>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</si>
  <si>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</si>
  <si>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</si>
  <si>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</si>
  <si>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</si>
  <si>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</si>
  <si>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</si>
  <si>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</si>
  <si>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</si>
  <si>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</si>
  <si>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</si>
  <si>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</si>
  <si>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</si>
  <si>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</si>
  <si>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</si>
  <si>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</si>
  <si>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</si>
  <si>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</si>
  <si>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</si>
  <si>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</si>
  <si>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</si>
  <si>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</si>
  <si>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</si>
  <si>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</si>
  <si>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</si>
  <si>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</si>
  <si>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</si>
  <si>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</si>
  <si>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</si>
  <si>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</si>
  <si>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</si>
  <si>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</si>
  <si>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</si>
  <si>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</si>
  <si>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</si>
  <si>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</si>
  <si>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</si>
  <si>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</si>
  <si>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</si>
  <si>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</si>
  <si>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</si>
  <si>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</si>
  <si>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</si>
  <si>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</si>
  <si>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</si>
  <si>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</si>
  <si>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</si>
  <si>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</si>
  <si>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</si>
  <si>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</si>
  <si>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</si>
  <si>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</si>
  <si>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</si>
  <si>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</si>
  <si>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</si>
  <si>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</si>
  <si>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</si>
  <si>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</si>
  <si>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</si>
  <si>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</si>
  <si>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</si>
  <si>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</si>
  <si>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</si>
  <si>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</si>
  <si>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</si>
  <si>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</si>
  <si>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</si>
  <si>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</si>
  <si>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</si>
  <si>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</si>
  <si>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</si>
  <si>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</si>
  <si>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</si>
  <si>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</si>
  <si>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</si>
  <si>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</si>
  <si>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</si>
  <si>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</si>
  <si>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</si>
  <si>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</si>
  <si>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</si>
  <si>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</si>
  <si>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</si>
  <si>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</si>
  <si>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</si>
  <si>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</si>
  <si>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</si>
  <si>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</si>
  <si>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</si>
  <si>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</si>
  <si>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</si>
  <si>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</si>
  <si>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</si>
  <si>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</si>
  <si>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</si>
  <si>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</si>
  <si>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</si>
  <si>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</si>
  <si>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</si>
  <si>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</si>
  <si>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</si>
  <si>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</si>
  <si>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</si>
  <si>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</si>
  <si>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</si>
  <si>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</si>
  <si>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</si>
  <si>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</si>
  <si>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</si>
  <si>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</si>
  <si>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</si>
  <si>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</si>
  <si>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</si>
  <si>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</si>
  <si>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</si>
  <si>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</si>
  <si>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</si>
  <si>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</si>
  <si>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</si>
  <si>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</si>
  <si>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</si>
  <si>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</si>
  <si>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</si>
  <si>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</si>
  <si>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</si>
  <si>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</si>
  <si>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</si>
  <si>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</si>
  <si>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</si>
  <si>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</si>
  <si>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</si>
  <si>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</si>
  <si>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</si>
  <si>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</si>
  <si>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</si>
  <si>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</si>
  <si>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</si>
  <si>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</si>
  <si>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</si>
  <si>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</si>
  <si>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</si>
  <si>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</si>
  <si>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</si>
  <si>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</si>
  <si>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</si>
  <si>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</si>
  <si>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</si>
  <si>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</si>
  <si>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</si>
  <si>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</si>
  <si>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</si>
  <si>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</si>
  <si>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</si>
  <si>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</si>
  <si>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</si>
  <si>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</si>
  <si>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</si>
  <si>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</si>
  <si>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</si>
  <si>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</si>
  <si>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</si>
  <si>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</si>
  <si>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</si>
  <si>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</si>
  <si>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</si>
  <si>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</si>
  <si>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</si>
  <si>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</si>
  <si>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</si>
  <si>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</si>
  <si>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</si>
  <si>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</si>
  <si>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</si>
  <si>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</si>
  <si>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</si>
  <si>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</si>
  <si>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</si>
  <si>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</si>
  <si>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</si>
  <si>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</si>
  <si>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</si>
  <si>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</si>
  <si>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</si>
  <si>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</si>
  <si>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</si>
  <si>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</si>
  <si>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</si>
  <si>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</si>
  <si>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</si>
  <si>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</si>
  <si>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</si>
  <si>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</si>
  <si>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</si>
  <si>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</si>
  <si>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</si>
  <si>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</si>
  <si>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</si>
  <si>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</si>
  <si>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</si>
  <si>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</si>
  <si>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</si>
  <si>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</si>
  <si>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</si>
  <si>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</si>
  <si>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</si>
  <si>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</si>
  <si>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</si>
  <si>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</si>
  <si>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</si>
  <si>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</si>
  <si>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</si>
  <si>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</si>
  <si>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</si>
  <si>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</si>
  <si>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</si>
  <si>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</si>
  <si>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</si>
  <si>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</si>
  <si>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</si>
  <si>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</si>
  <si>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</si>
  <si>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</si>
  <si>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</si>
  <si>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</si>
  <si>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</si>
  <si>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</si>
  <si>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</si>
  <si>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</si>
  <si>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</si>
  <si>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</si>
  <si>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</si>
  <si>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</si>
  <si>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</si>
  <si>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</si>
  <si>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</si>
  <si>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</si>
  <si>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</si>
  <si>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</si>
  <si>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</si>
  <si>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</si>
  <si>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</si>
  <si>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</si>
  <si>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</si>
  <si>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</si>
  <si>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</si>
  <si>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</si>
  <si>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</si>
  <si>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</si>
  <si>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</si>
  <si>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</si>
  <si>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</si>
  <si>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</si>
  <si>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</si>
  <si>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</si>
  <si>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</si>
  <si>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</si>
  <si>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</si>
  <si>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</si>
  <si>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</si>
  <si>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</si>
  <si>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</si>
  <si>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</si>
  <si>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</si>
  <si>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</si>
  <si>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</si>
  <si>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</si>
  <si>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</si>
  <si>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</si>
  <si>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</si>
  <si>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</si>
  <si>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</si>
  <si>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</si>
  <si>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</si>
  <si>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</si>
  <si>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</si>
  <si>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</si>
  <si>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</si>
  <si>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</si>
  <si>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</si>
  <si>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</si>
  <si>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</si>
  <si>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</si>
  <si>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</si>
  <si>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</si>
  <si>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</si>
  <si>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</si>
  <si>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</si>
  <si>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</si>
  <si>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</si>
  <si>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</si>
  <si>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</si>
  <si>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</si>
  <si>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</si>
  <si>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</si>
  <si>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</si>
  <si>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</si>
  <si>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</si>
  <si>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</si>
  <si>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</si>
  <si>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</si>
  <si>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</si>
  <si>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</si>
  <si>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</si>
  <si>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</si>
  <si>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</si>
  <si>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</si>
  <si>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</si>
  <si>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</si>
  <si>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</si>
  <si>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</si>
  <si>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</si>
  <si>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</si>
  <si>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</si>
  <si>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</si>
  <si>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</si>
  <si>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</si>
  <si>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</si>
  <si>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</si>
  <si>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</si>
  <si>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</si>
  <si>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</si>
  <si>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</si>
  <si>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</si>
  <si>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</si>
  <si>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</si>
  <si>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</si>
  <si>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</si>
  <si>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</si>
  <si>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</si>
  <si>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</si>
  <si>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</si>
  <si>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</si>
  <si>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</si>
  <si>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</si>
  <si>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</si>
  <si>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</si>
  <si>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</si>
  <si>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</si>
  <si>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</si>
  <si>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</si>
  <si>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</si>
  <si>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</si>
  <si>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</si>
  <si>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</si>
  <si>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</si>
  <si>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</si>
  <si>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</si>
  <si>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</si>
  <si>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</si>
  <si>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</si>
  <si>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</si>
  <si>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</si>
  <si>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</si>
  <si>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</si>
  <si>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</si>
  <si>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</si>
  <si>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</si>
  <si>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</si>
  <si>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</si>
  <si>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</si>
  <si>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</si>
  <si>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</si>
  <si>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</si>
  <si>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</si>
  <si>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</si>
  <si>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</si>
  <si>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</si>
  <si>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</si>
  <si>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</si>
  <si>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</si>
  <si>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</si>
  <si>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</si>
  <si>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</si>
  <si>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</si>
  <si>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</si>
  <si>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</si>
  <si>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</si>
  <si>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</si>
  <si>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</si>
  <si>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</si>
  <si>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</si>
  <si>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</si>
  <si>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</si>
  <si>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</si>
  <si>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</si>
  <si>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</si>
  <si>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</si>
  <si>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</si>
  <si>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</si>
  <si>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</si>
  <si>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</si>
  <si>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</si>
  <si>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</si>
  <si>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</si>
  <si>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</si>
  <si>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</si>
  <si>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</si>
  <si>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</si>
  <si>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</si>
  <si>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</si>
  <si>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</si>
  <si>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</si>
  <si>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</si>
  <si>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</si>
  <si>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</si>
  <si>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</si>
  <si>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</si>
  <si>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</si>
  <si>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</si>
  <si>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</si>
  <si>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</si>
  <si>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</si>
  <si>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</si>
  <si>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</si>
  <si>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</si>
  <si>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</si>
  <si>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</si>
  <si>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</si>
  <si>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</si>
  <si>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</si>
  <si>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</si>
  <si>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</si>
  <si>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</si>
  <si>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</si>
  <si>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</si>
  <si>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</si>
  <si>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</si>
  <si>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</si>
  <si>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</si>
  <si>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</si>
  <si>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</si>
  <si>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</si>
  <si>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</si>
  <si>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</si>
  <si>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</si>
  <si>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</si>
  <si>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</si>
  <si>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</si>
  <si>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</si>
  <si>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</si>
  <si>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</si>
  <si>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</si>
  <si>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</si>
  <si>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</si>
  <si>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</si>
  <si>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</si>
  <si>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</si>
  <si>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</si>
  <si>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</si>
  <si>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</si>
  <si>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</si>
  <si>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</si>
  <si>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</si>
  <si>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</si>
  <si>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</si>
  <si>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</si>
  <si>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</si>
  <si>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</si>
  <si>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</si>
  <si>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</si>
  <si>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</si>
  <si>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</si>
  <si>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</si>
  <si>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</si>
  <si>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</si>
  <si>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</si>
  <si>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</si>
  <si>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</si>
  <si>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</si>
  <si>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</si>
  <si>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</si>
  <si>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</si>
  <si>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</si>
  <si>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</si>
  <si>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</si>
  <si>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</si>
  <si>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</si>
  <si>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</si>
  <si>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</si>
  <si>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</si>
  <si>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</si>
  <si>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</si>
  <si>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</si>
  <si>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</si>
  <si>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</si>
  <si>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</si>
  <si>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</si>
  <si>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</si>
  <si>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</si>
  <si>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</si>
  <si>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</si>
  <si>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</si>
  <si>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</si>
  <si>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</si>
  <si>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</si>
  <si>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</si>
  <si>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</si>
  <si>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</si>
  <si>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</si>
  <si>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</si>
  <si>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</si>
  <si>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</si>
  <si>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</si>
  <si>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</si>
  <si>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</si>
  <si>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</si>
  <si>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</si>
  <si>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</si>
  <si>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</si>
  <si>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</si>
  <si>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</si>
  <si>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</si>
  <si>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</si>
  <si>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</si>
  <si>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</si>
  <si>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</si>
  <si>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</si>
  <si>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</si>
  <si>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</si>
  <si>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</si>
  <si>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</si>
  <si>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</si>
  <si>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</si>
  <si>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</si>
  <si>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</si>
  <si>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</si>
  <si>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</si>
  <si>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</si>
  <si>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</si>
  <si>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</si>
  <si>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</si>
  <si>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</si>
  <si>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</si>
  <si>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</si>
  <si>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</si>
  <si>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</si>
  <si>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</si>
  <si>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</si>
  <si>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</si>
  <si>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</si>
  <si>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</si>
  <si>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</si>
  <si>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</si>
  <si>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</si>
  <si>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</si>
  <si>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</si>
  <si>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</si>
  <si>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</si>
  <si>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</si>
  <si>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</si>
  <si>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</si>
  <si>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</si>
  <si>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</si>
  <si>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</si>
  <si>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</si>
  <si>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</si>
  <si>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</si>
  <si>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</si>
  <si>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</si>
  <si>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</si>
  <si>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</si>
  <si>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</si>
  <si>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</si>
  <si>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</si>
  <si>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</si>
  <si>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</si>
  <si>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</si>
  <si>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</si>
  <si>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</si>
  <si>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</si>
  <si>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</si>
  <si>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</si>
  <si>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</si>
  <si>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</si>
  <si>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</si>
  <si>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</si>
  <si>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</si>
  <si>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</si>
  <si>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</si>
  <si>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</si>
  <si>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</si>
  <si>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</si>
  <si>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</si>
  <si>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</si>
  <si>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</si>
  <si>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</si>
  <si>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</si>
  <si>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</si>
  <si>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</si>
  <si>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</si>
  <si>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</si>
  <si>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</si>
  <si>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</si>
  <si>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</si>
  <si>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</si>
  <si>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</si>
  <si>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</si>
  <si>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</si>
  <si>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</si>
  <si>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</si>
  <si>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</si>
  <si>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</si>
  <si>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</si>
  <si>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</si>
  <si>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</si>
  <si>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</si>
  <si>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</si>
  <si>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</si>
  <si>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</si>
  <si>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</si>
  <si>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</si>
  <si>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</si>
  <si>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</si>
  <si>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</si>
  <si>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</si>
  <si>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</si>
  <si>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</si>
  <si>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</si>
  <si>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</si>
  <si>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</si>
  <si>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</si>
  <si>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</si>
  <si>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</si>
  <si>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</si>
  <si>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</si>
  <si>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</si>
  <si>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</si>
  <si>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</si>
  <si>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</si>
  <si>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</si>
  <si>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</si>
  <si>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</si>
  <si>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</si>
  <si>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</si>
  <si>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</si>
  <si>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</si>
  <si>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</si>
  <si>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</si>
  <si>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</si>
  <si>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</si>
  <si>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</si>
  <si>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</si>
  <si>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</si>
  <si>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</si>
  <si>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</si>
  <si>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</si>
  <si>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</si>
  <si>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</si>
  <si>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</si>
  <si>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</si>
  <si>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</si>
  <si>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</si>
  <si>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</si>
  <si>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</si>
  <si>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</si>
  <si>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</si>
  <si>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</si>
  <si>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</si>
  <si>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</si>
  <si>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</si>
  <si>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</si>
  <si>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</si>
  <si>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</si>
  <si>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</si>
  <si>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</si>
  <si>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</si>
  <si>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</si>
  <si>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</si>
  <si>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</si>
  <si>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</si>
  <si>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</si>
  <si>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</si>
  <si>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</si>
  <si>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</si>
  <si>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</si>
  <si>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</si>
  <si>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</si>
  <si>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</si>
  <si>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</si>
  <si>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</si>
  <si>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</si>
  <si>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</si>
  <si>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</si>
  <si>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</si>
  <si>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</si>
  <si>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</si>
  <si>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</si>
  <si>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</si>
  <si>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</si>
  <si>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</si>
  <si>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</si>
  <si>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</si>
  <si>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</si>
  <si>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</si>
  <si>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</si>
  <si>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</si>
  <si>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</si>
  <si>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</si>
  <si>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</si>
  <si>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</si>
  <si>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</si>
  <si>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</si>
  <si>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</si>
  <si>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</si>
  <si>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</si>
  <si>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</si>
  <si>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</si>
  <si>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</si>
  <si>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</si>
  <si>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</si>
  <si>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</si>
  <si>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</si>
  <si>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</si>
  <si>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</si>
  <si>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</si>
  <si>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</si>
  <si>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</si>
  <si>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</si>
  <si>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</si>
  <si>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</si>
  <si>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</si>
  <si>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</si>
  <si>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</si>
  <si>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</si>
  <si>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</si>
  <si>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</si>
  <si>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</si>
  <si>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</si>
  <si>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</si>
  <si>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</si>
  <si>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</si>
  <si>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</si>
  <si>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</si>
  <si>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</si>
  <si>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</si>
  <si>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</si>
  <si>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</si>
  <si>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</si>
  <si>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</si>
  <si>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</si>
  <si>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</si>
  <si>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</si>
  <si>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</si>
  <si>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</si>
  <si>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</si>
  <si>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</si>
  <si>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</si>
  <si>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</si>
  <si>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</si>
  <si>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</si>
  <si>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</si>
  <si>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</si>
  <si>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</si>
  <si>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</si>
  <si>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</si>
  <si>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</si>
  <si>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</si>
  <si>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</si>
  <si>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</si>
  <si>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</si>
  <si>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</si>
  <si>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</si>
  <si>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</si>
  <si>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</si>
  <si>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</si>
  <si>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</si>
  <si>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</si>
  <si>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</si>
  <si>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</si>
  <si>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</si>
  <si>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</si>
  <si>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</si>
  <si>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</si>
  <si>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</si>
  <si>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</si>
  <si>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</si>
  <si>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</si>
  <si>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</si>
  <si>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</si>
  <si>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</si>
  <si>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</si>
  <si>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</si>
  <si>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</si>
  <si>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</si>
  <si>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</si>
  <si>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</si>
  <si>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</si>
  <si>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</si>
  <si>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</si>
  <si>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</si>
  <si>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</si>
  <si>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</si>
  <si>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</si>
  <si>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</si>
  <si>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</si>
  <si>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</si>
  <si>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</si>
  <si>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</si>
  <si>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</si>
  <si>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</si>
  <si>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</si>
  <si>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</si>
  <si>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</si>
  <si>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</si>
  <si>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</si>
  <si>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</si>
  <si>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</si>
  <si>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</si>
  <si>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</si>
  <si>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</si>
  <si>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</si>
  <si>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</si>
  <si>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</si>
  <si>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</si>
  <si>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</si>
  <si>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</si>
  <si>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</si>
  <si>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</si>
  <si>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</si>
  <si>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</si>
  <si>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</si>
  <si>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</si>
  <si>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</si>
  <si>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</si>
  <si>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</si>
  <si>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</si>
  <si>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</si>
  <si>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</si>
  <si>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</si>
  <si>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</si>
  <si>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</si>
  <si>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</si>
  <si>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</si>
  <si>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</si>
  <si>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</si>
  <si>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</si>
  <si>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</si>
  <si>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</si>
  <si>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</si>
  <si>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</si>
  <si>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</si>
  <si>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</si>
  <si>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</si>
  <si>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</si>
  <si>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</si>
  <si>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</si>
  <si>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</si>
  <si>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</si>
  <si>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</si>
  <si>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</si>
  <si>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</si>
  <si>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</si>
  <si>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</si>
  <si>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</si>
  <si>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</si>
  <si>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</si>
  <si>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</si>
  <si>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</si>
  <si>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</si>
  <si>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</si>
  <si>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</si>
  <si>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</si>
  <si>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</si>
  <si>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</si>
  <si>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</si>
  <si>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</si>
  <si>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</si>
  <si>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</si>
  <si>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</si>
  <si>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</si>
  <si>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</si>
  <si>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</si>
  <si>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</si>
  <si>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</si>
  <si>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</si>
  <si>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</si>
  <si>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</si>
  <si>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</si>
  <si>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</si>
  <si>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</si>
  <si>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</si>
  <si>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</si>
  <si>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</si>
  <si>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</si>
  <si>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</si>
  <si>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</si>
  <si>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</si>
  <si>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</si>
  <si>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</si>
  <si>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</si>
  <si>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</si>
  <si>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</si>
  <si>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</si>
  <si>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</si>
  <si>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</si>
  <si>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</si>
  <si>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</si>
  <si>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</si>
  <si>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</si>
  <si>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</si>
  <si>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</si>
  <si>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</si>
  <si>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</si>
  <si>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</si>
  <si>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</si>
  <si>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</si>
  <si>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</si>
  <si>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</si>
  <si>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</si>
  <si>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</si>
  <si>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</si>
  <si>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</si>
  <si>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</si>
  <si>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</si>
  <si>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</si>
  <si>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</si>
  <si>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</si>
  <si>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</si>
  <si>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</si>
  <si>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</si>
  <si>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</si>
  <si>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</si>
  <si>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</si>
  <si>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</si>
  <si>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</si>
  <si>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</si>
  <si>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</si>
  <si>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</si>
  <si>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</si>
  <si>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</si>
  <si>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</si>
  <si>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</si>
  <si>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</si>
  <si>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</si>
  <si>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</si>
  <si>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</si>
  <si>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</si>
  <si>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</si>
  <si>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</si>
  <si>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</si>
  <si>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</si>
  <si>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</si>
  <si>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</si>
  <si>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</si>
  <si>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</si>
  <si>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</si>
  <si>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</si>
  <si>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</si>
  <si>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</si>
  <si>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</si>
  <si>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</si>
  <si>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</si>
  <si>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</si>
  <si>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</si>
  <si>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</si>
  <si>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</si>
  <si>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</si>
  <si>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</si>
  <si>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</si>
  <si>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</si>
  <si>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</si>
  <si>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</si>
  <si>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</si>
  <si>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</si>
  <si>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</si>
  <si>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</si>
  <si>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</si>
  <si>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</si>
  <si>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</si>
  <si>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</si>
  <si>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</si>
  <si>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</si>
  <si>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</si>
  <si>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</si>
  <si>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</si>
  <si>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</si>
  <si>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</si>
  <si>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</si>
  <si>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</si>
  <si>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</si>
  <si>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</si>
  <si>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</si>
  <si>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</si>
  <si>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</si>
  <si>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</si>
  <si>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</si>
  <si>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</si>
  <si>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</si>
  <si>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</si>
  <si>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</si>
  <si>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</si>
  <si>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</si>
  <si>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</si>
  <si>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</si>
  <si>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</si>
  <si>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</si>
  <si>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</si>
  <si>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</si>
  <si>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</si>
  <si>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</si>
  <si>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</si>
  <si>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</si>
  <si>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</si>
  <si>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</si>
  <si>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</si>
  <si>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</si>
  <si>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</si>
  <si>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</si>
  <si>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</si>
  <si>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</si>
  <si>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</si>
  <si>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</si>
  <si>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</si>
  <si>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</si>
  <si>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</si>
  <si>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</si>
  <si>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</si>
  <si>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</si>
  <si>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</si>
  <si>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</si>
  <si>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</si>
  <si>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</si>
  <si>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</si>
  <si>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</si>
  <si>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</si>
  <si>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</si>
  <si>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</si>
  <si>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</si>
  <si>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</si>
  <si>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</si>
  <si>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</si>
  <si>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</si>
  <si>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</si>
  <si>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</si>
  <si>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</si>
  <si>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</si>
  <si>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</si>
  <si>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</si>
  <si>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</si>
  <si>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</si>
  <si>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</si>
  <si>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</si>
  <si>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</si>
  <si>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</si>
  <si>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</si>
  <si>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</si>
  <si>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</si>
  <si>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</si>
  <si>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</si>
  <si>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</si>
  <si>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</si>
  <si>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</si>
  <si>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</si>
  <si>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</si>
  <si>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</si>
  <si>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</si>
  <si>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</si>
  <si>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</si>
  <si>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</si>
  <si>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</si>
  <si>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</si>
  <si>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</si>
  <si>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</si>
  <si>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</si>
  <si>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</si>
  <si>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</si>
  <si>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</si>
  <si>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</si>
  <si>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</si>
  <si>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</si>
  <si>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</si>
  <si>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</si>
  <si>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</si>
  <si>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</si>
  <si>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</si>
  <si>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</si>
  <si>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</si>
  <si>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</si>
  <si>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</si>
  <si>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</si>
  <si>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</si>
  <si>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</si>
  <si>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</si>
  <si>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</si>
  <si>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</si>
  <si>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</si>
  <si>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</si>
  <si>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</si>
  <si>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</si>
  <si>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</si>
  <si>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</si>
  <si>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</si>
  <si>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</si>
  <si>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</si>
  <si>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</si>
  <si>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</si>
  <si>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</si>
  <si>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</si>
  <si>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</si>
  <si>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</si>
  <si>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</si>
  <si>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</si>
  <si>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</si>
  <si>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</si>
  <si>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</si>
  <si>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</si>
  <si>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</si>
  <si>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</si>
  <si>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</si>
  <si>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</si>
  <si>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</si>
  <si>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</si>
  <si>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</si>
  <si>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</si>
  <si>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</si>
  <si>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</si>
  <si>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</si>
  <si>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</si>
  <si>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</si>
  <si>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</si>
  <si>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</si>
  <si>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</si>
  <si>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</si>
  <si>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</si>
  <si>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</si>
  <si>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</si>
  <si>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</si>
  <si>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</si>
  <si>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</si>
  <si>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</si>
  <si>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</si>
  <si>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</si>
  <si>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</si>
  <si>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</si>
  <si>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</si>
  <si>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</si>
  <si>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</si>
  <si>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</si>
  <si>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</si>
  <si>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</si>
  <si>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</si>
  <si>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</si>
  <si>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</si>
  <si>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</si>
  <si>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</si>
  <si>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</si>
  <si>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</si>
  <si>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</si>
  <si>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</si>
  <si>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</si>
  <si>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</si>
  <si>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</si>
  <si>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</si>
  <si>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</si>
  <si>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</si>
  <si>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</si>
  <si>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</si>
  <si>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</si>
  <si>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</si>
  <si>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</si>
  <si>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</si>
  <si>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</si>
  <si>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</si>
  <si>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</si>
  <si>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</si>
  <si>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</si>
  <si>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</si>
  <si>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</si>
  <si>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</si>
  <si>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</si>
  <si>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</si>
  <si>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</si>
  <si>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</si>
  <si>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</si>
  <si>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</si>
  <si>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</si>
  <si>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</si>
  <si>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</si>
  <si>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</si>
  <si>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</si>
  <si>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</si>
  <si>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</si>
  <si>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</si>
  <si>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</si>
  <si>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</si>
  <si>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</si>
  <si>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</si>
  <si>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</si>
  <si>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</si>
  <si>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</si>
  <si>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</si>
  <si>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</si>
  <si>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</si>
  <si>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</si>
  <si>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</si>
  <si>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</si>
  <si>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</si>
  <si>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</si>
  <si>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</si>
  <si>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</si>
  <si>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</si>
  <si>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</si>
  <si>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</si>
  <si>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</si>
  <si>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</si>
  <si>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</si>
  <si>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</si>
  <si>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</si>
  <si>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</si>
  <si>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</si>
  <si>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</si>
  <si>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</si>
  <si>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</si>
  <si>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</si>
  <si>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</si>
  <si>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</si>
  <si>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</si>
  <si>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</si>
  <si>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</si>
  <si>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</si>
  <si>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</si>
  <si>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</si>
  <si>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</si>
  <si>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</si>
  <si>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</si>
  <si>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</si>
  <si>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</si>
  <si>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</si>
  <si>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</si>
  <si>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</si>
  <si>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</si>
  <si>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</si>
  <si>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</si>
  <si>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</si>
  <si>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</si>
  <si>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</si>
  <si>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</si>
  <si>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</si>
  <si>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</si>
  <si>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</si>
  <si>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</si>
  <si>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</si>
  <si>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</si>
  <si>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</si>
  <si>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</si>
  <si>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</si>
  <si>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</si>
  <si>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</si>
  <si>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</si>
  <si>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</si>
  <si>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</si>
  <si>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</si>
  <si>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</si>
  <si>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</si>
  <si>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</si>
  <si>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</si>
  <si>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</si>
  <si>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</si>
  <si>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</si>
  <si>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</si>
  <si>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</si>
  <si>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</si>
  <si>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</si>
  <si>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</si>
  <si>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</si>
  <si>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</si>
  <si>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</si>
  <si>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</si>
  <si>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</si>
  <si>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</si>
  <si>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</si>
  <si>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</si>
  <si>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</si>
  <si>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</si>
  <si>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</si>
  <si>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</si>
  <si>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</si>
  <si>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</si>
  <si>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</si>
  <si>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</si>
  <si>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</si>
  <si>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</si>
  <si>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</si>
  <si>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</si>
  <si>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</si>
  <si>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</si>
  <si>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</si>
  <si>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</si>
  <si>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</si>
  <si>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</si>
  <si>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</si>
  <si>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</si>
  <si>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</si>
  <si>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</si>
  <si>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</si>
  <si>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</si>
  <si>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</si>
  <si>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</si>
  <si>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</si>
  <si>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</si>
  <si>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</si>
  <si>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</si>
  <si>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</si>
  <si>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</si>
  <si>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</si>
  <si>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</si>
  <si>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</si>
  <si>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</si>
  <si>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</si>
  <si>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</si>
  <si>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</si>
  <si>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</si>
  <si>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</si>
  <si>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</si>
  <si>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</si>
  <si>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</si>
  <si>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</si>
  <si>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</si>
  <si>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</si>
  <si>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</si>
  <si>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</si>
  <si>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</si>
  <si>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</si>
  <si>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</si>
  <si>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</si>
  <si>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</si>
  <si>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</si>
  <si>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</si>
  <si>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</si>
  <si>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</si>
  <si>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</si>
  <si>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</si>
  <si>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</si>
  <si>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</si>
  <si>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</si>
  <si>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</si>
  <si>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</si>
  <si>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</si>
  <si>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</si>
  <si>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</si>
  <si>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</si>
  <si>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</si>
  <si>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</si>
  <si>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</si>
  <si>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</si>
  <si>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</si>
  <si>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</si>
  <si>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</si>
  <si>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</si>
  <si>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</si>
  <si>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</si>
  <si>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</si>
  <si>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</si>
  <si>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</si>
  <si>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</si>
  <si>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</si>
  <si>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</si>
  <si>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</si>
  <si>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</si>
  <si>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</si>
  <si>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</si>
  <si>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</si>
  <si>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</si>
  <si>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</si>
  <si>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</si>
  <si>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</si>
  <si>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</si>
  <si>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</si>
  <si>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</si>
  <si>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</si>
  <si>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</si>
  <si>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</si>
  <si>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</si>
  <si>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</si>
  <si>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</si>
  <si>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</si>
  <si>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</si>
  <si>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</si>
  <si>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</si>
  <si>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</si>
  <si>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</si>
  <si>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</si>
  <si>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</si>
  <si>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</si>
  <si>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</si>
  <si>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</si>
  <si>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</si>
  <si>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</si>
  <si>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</si>
  <si>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</si>
  <si>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</si>
  <si>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</si>
  <si>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</si>
  <si>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</si>
  <si>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</si>
  <si>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</si>
  <si>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</si>
  <si>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</si>
  <si>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</si>
  <si>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</si>
  <si>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</si>
  <si>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</si>
  <si>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</si>
  <si>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</si>
  <si>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</si>
  <si>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</si>
  <si>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</si>
  <si>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</si>
  <si>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</si>
  <si>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</si>
  <si>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</si>
  <si>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</si>
  <si>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</si>
  <si>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</si>
  <si>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</si>
  <si>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</si>
  <si>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</si>
  <si>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</si>
  <si>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</si>
  <si>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</si>
  <si>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</si>
  <si>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</si>
  <si>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</si>
  <si>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</si>
  <si>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</si>
  <si>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</si>
  <si>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</si>
  <si>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</si>
  <si>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</si>
  <si>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</si>
  <si>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</si>
  <si>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</si>
  <si>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</si>
  <si>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</si>
  <si>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</si>
  <si>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</si>
  <si>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</si>
  <si>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</si>
  <si>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</si>
  <si>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</si>
  <si>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</si>
  <si>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</si>
  <si>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</si>
  <si>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</si>
  <si>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</si>
  <si>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</si>
  <si>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</si>
  <si>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</si>
  <si>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</si>
  <si>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</si>
  <si>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</si>
  <si>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</si>
  <si>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</si>
  <si>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</si>
  <si>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</si>
  <si>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</si>
  <si>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</si>
  <si>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</si>
  <si>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</si>
  <si>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</si>
  <si>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</si>
  <si>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</si>
  <si>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2020</t>
  </si>
  <si>
    <t>2021</t>
  </si>
  <si>
    <t>2022</t>
  </si>
  <si>
    <t>Jan</t>
  </si>
  <si>
    <t>Feb</t>
  </si>
  <si>
    <t>Mar</t>
  </si>
  <si>
    <t>Apr</t>
  </si>
  <si>
    <t>May</t>
  </si>
  <si>
    <t>Jun</t>
  </si>
  <si>
    <t>Jul</t>
  </si>
  <si>
    <t>Aug</t>
  </si>
  <si>
    <t>Sep</t>
  </si>
  <si>
    <t>Oct</t>
  </si>
  <si>
    <t>Nov</t>
  </si>
  <si>
    <t>Dec</t>
  </si>
  <si>
    <t>Years (Order Date)</t>
  </si>
  <si>
    <t>Months (Order Date)</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</si>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</sst>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mmm\-yyyy"/>
    <numFmt numFmtId="167" formatCode="0.0&quot;kg&quot;"/>
    <numFmt numFmtId="170" formatCode="[$$-45C]#,##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170" fontId="0" fillId="0" borderId="0" xfId="0" applyNumberFormat="1"/>
  </cellXfs>
  <cellStyles count="1">
    <cellStyle name="Normal" xfId="0" builtinId="0"/>
  </cellStyles>
  <dxfs count="14">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sz val="12"/>
        <color theme="0"/>
        <name val="Calibri"/>
        <family val="2"/>
        <scheme val="minor"/>
      </font>
      <fill>
        <patternFill patternType="solid">
          <fgColor auto="1"/>
          <bgColor theme="9"/>
        </patternFill>
      </fill>
      <border diagonalUp="0" diagonalDown="0">
        <left/>
        <right/>
        <top/>
        <bottom/>
        <vertical/>
        <horizontal/>
      </border>
    </dxf>
    <dxf>
      <font>
        <b val="0"/>
        <i val="0"/>
        <name val="Calibri"/>
        <family val="2"/>
        <scheme val="minor"/>
      </font>
      <fill>
        <gradientFill degree="270">
          <stop position="0">
            <color rgb="FFF9C4FC"/>
          </stop>
          <stop position="1">
            <color rgb="FFF29CE6"/>
          </stop>
        </gradientFill>
      </fill>
    </dxf>
    <dxf>
      <numFmt numFmtId="0" formatCode="General"/>
    </dxf>
    <dxf>
      <font>
        <b/>
        <i val="0"/>
        <sz val="11"/>
        <color theme="0"/>
        <name val="Calibri"/>
        <family val="2"/>
        <scheme val="minor"/>
      </font>
      <border>
        <left style="thin">
          <color theme="0"/>
        </left>
        <right style="thin">
          <color theme="0"/>
        </right>
        <top style="thin">
          <color theme="0"/>
        </top>
        <bottom style="thin">
          <color theme="0"/>
        </bottom>
      </border>
    </dxf>
    <dxf>
      <font>
        <b val="0"/>
        <i val="0"/>
        <sz val="10"/>
        <color theme="0"/>
        <name val="Calibri"/>
        <family val="2"/>
        <scheme val="minor"/>
      </font>
      <fill>
        <gradientFill degree="90">
          <stop position="0">
            <color rgb="FF62983E"/>
          </stop>
          <stop position="1">
            <color rgb="FF91C36F"/>
          </stop>
        </gradientFill>
      </fill>
      <border>
        <left style="thin">
          <color theme="9" tint="-0.24994659260841701"/>
        </left>
        <right style="thin">
          <color theme="9" tint="-0.24994659260841701"/>
        </right>
        <top style="thin">
          <color theme="9" tint="-0.24994659260841701"/>
        </top>
        <bottom style="thin">
          <color theme="9" tint="-0.24994659260841701"/>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Hijau" pivot="0" table="0" count="8" xr9:uid="{93F88E39-AEBC-431D-8C60-3E29F22F09F8}">
      <tableStyleElement type="wholeTable" dxfId="6"/>
      <tableStyleElement type="headerRow" dxfId="5"/>
    </tableStyle>
    <tableStyle name="Slicer Style 1" pivot="0" table="0" count="3" xr9:uid="{E57EAD53-0F73-4759-850D-781083300BB6}">
      <tableStyleElement type="wholeTable" dxfId="3"/>
      <tableStyleElement type="headerRow" dxfId="2"/>
    </tableStyle>
  </tableStyles>
  <colors>
    <mruColors>
      <color rgb="FFEB67D8"/>
      <color rgb="FF4C7430"/>
      <color rgb="FF62983E"/>
      <color rgb="FFF2A136"/>
      <color rgb="FFFDE8FE"/>
      <color rgb="FFF9C4FC"/>
      <color rgb="FFEF89E0"/>
      <color rgb="FFED79DC"/>
      <color rgb="FF75B44A"/>
      <color rgb="FF91C36F"/>
    </mruColors>
  </colors>
  <extLst>
    <ext xmlns:x14="http://schemas.microsoft.com/office/spreadsheetml/2009/9/main" uri="{46F421CA-312F-682f-3DD2-61675219B42D}">
      <x14:dxfs count="1">
        <dxf>
          <font>
            <b val="0"/>
            <i val="0"/>
            <sz val="10"/>
            <name val="Calibri"/>
            <family val="2"/>
            <scheme val="minor"/>
          </font>
          <fill>
            <gradientFill degree="90">
              <stop position="0">
                <color rgb="FFED79DC"/>
              </stop>
              <stop position="1">
                <color rgb="FFED79DC"/>
              </stop>
            </gradientFill>
          </fill>
          <border>
            <left style="thin">
              <color rgb="FFED79DC"/>
            </left>
            <right style="thin">
              <color rgb="FFED79DC"/>
            </right>
            <top style="thin">
              <color rgb="FFED79DC"/>
            </top>
            <bottom style="thin">
              <color rgb="FFED79DC"/>
            </bottom>
          </border>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A0A4C193-F2C1-4fcb-8827-314CF55A85BB}">
      <x15:dxfs count="6">
        <dxf>
          <fill>
            <gradientFill degree="90">
              <stop position="0">
                <color theme="0"/>
              </stop>
              <stop position="1">
                <color theme="0"/>
              </stop>
            </gradientFill>
          </fill>
        </dxf>
        <dxf>
          <fill>
            <gradientFill degree="90">
              <stop position="0">
                <color rgb="FFED79DC"/>
              </stop>
              <stop position="1">
                <color rgb="FFED79DC" tint="0.23920407727286599"/>
              </stop>
            </gradientFill>
          </fill>
          <border>
            <left style="thin">
              <color rgb="FFFDE8FE"/>
            </left>
            <right style="thin">
              <color rgb="FFFDE8FE"/>
            </right>
            <top style="thin">
              <color rgb="FFFDE8FE"/>
            </top>
            <bottom style="thin">
              <color rgb="FFFDE8FE"/>
            </bottom>
          </border>
        </dxf>
        <dxf>
          <font>
            <b/>
            <i val="0"/>
            <sz val="9"/>
            <color theme="0"/>
            <name val="Calibri"/>
            <family val="2"/>
            <scheme val="minor"/>
          </font>
        </dxf>
        <dxf>
          <font>
            <b val="0"/>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Hijau">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b="1">
                <a:solidFill>
                  <a:schemeClr val="accent6">
                    <a:lumMod val="50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BA42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6CE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A42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6CE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B67D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76CE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EB67D8"/>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TotalSales!$C$5:$C$29</c:f>
              <c:numCache>
                <c:formatCode>#,##0</c:formatCode>
                <c:ptCount val="21"/>
                <c:pt idx="0">
                  <c:v>79.47</c:v>
                </c:pt>
                <c:pt idx="1">
                  <c:v>22.5</c:v>
                </c:pt>
                <c:pt idx="2">
                  <c:v>101.49</c:v>
                </c:pt>
                <c:pt idx="3">
                  <c:v>97.874999999999986</c:v>
                </c:pt>
                <c:pt idx="4">
                  <c:v>165.23499999999999</c:v>
                </c:pt>
                <c:pt idx="5">
                  <c:v>23.88</c:v>
                </c:pt>
                <c:pt idx="6">
                  <c:v>106.47</c:v>
                </c:pt>
                <c:pt idx="7">
                  <c:v>169.99999999999997</c:v>
                </c:pt>
                <c:pt idx="8">
                  <c:v>192.40499999999997</c:v>
                </c:pt>
                <c:pt idx="9">
                  <c:v>62.91</c:v>
                </c:pt>
                <c:pt idx="10">
                  <c:v>143.22</c:v>
                </c:pt>
                <c:pt idx="11">
                  <c:v>279.70499999999998</c:v>
                </c:pt>
                <c:pt idx="12">
                  <c:v>109.005</c:v>
                </c:pt>
                <c:pt idx="13">
                  <c:v>119.41999999999999</c:v>
                </c:pt>
                <c:pt idx="14">
                  <c:v>667.51499999999999</c:v>
                </c:pt>
                <c:pt idx="15">
                  <c:v>242.99999999999997</c:v>
                </c:pt>
                <c:pt idx="16">
                  <c:v>63.314999999999998</c:v>
                </c:pt>
                <c:pt idx="17">
                  <c:v>201.86999999999998</c:v>
                </c:pt>
                <c:pt idx="18">
                  <c:v>30.06</c:v>
                </c:pt>
                <c:pt idx="19">
                  <c:v>49.209999999999994</c:v>
                </c:pt>
                <c:pt idx="20">
                  <c:v>45</c:v>
                </c:pt>
              </c:numCache>
            </c:numRef>
          </c:val>
          <c:smooth val="0"/>
          <c:extLst>
            <c:ext xmlns:c16="http://schemas.microsoft.com/office/drawing/2014/chart" uri="{C3380CC4-5D6E-409C-BE32-E72D297353CC}">
              <c16:uniqueId val="{00000000-73F4-4D0F-AA5D-107092D49E47}"/>
            </c:ext>
          </c:extLst>
        </c:ser>
        <c:ser>
          <c:idx val="1"/>
          <c:order val="1"/>
          <c:tx>
            <c:strRef>
              <c:f>TotalSales!$D$3:$D$4</c:f>
              <c:strCache>
                <c:ptCount val="1"/>
                <c:pt idx="0">
                  <c:v>Excelsa</c:v>
                </c:pt>
              </c:strCache>
            </c:strRef>
          </c:tx>
          <c:spPr>
            <a:ln w="28575" cap="rnd">
              <a:solidFill>
                <a:schemeClr val="accent6"/>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TotalSales!$D$5:$D$29</c:f>
              <c:numCache>
                <c:formatCode>#,##0</c:formatCode>
                <c:ptCount val="21"/>
                <c:pt idx="0">
                  <c:v>110</c:v>
                </c:pt>
                <c:pt idx="1">
                  <c:v>77.72</c:v>
                </c:pt>
                <c:pt idx="2">
                  <c:v>195.11</c:v>
                </c:pt>
                <c:pt idx="3">
                  <c:v>156.655</c:v>
                </c:pt>
                <c:pt idx="5">
                  <c:v>354.67499999999995</c:v>
                </c:pt>
                <c:pt idx="6">
                  <c:v>12.15</c:v>
                </c:pt>
                <c:pt idx="7">
                  <c:v>48.6</c:v>
                </c:pt>
                <c:pt idx="8">
                  <c:v>307.38499999999999</c:v>
                </c:pt>
                <c:pt idx="9">
                  <c:v>8.91</c:v>
                </c:pt>
                <c:pt idx="10">
                  <c:v>94.710000000000008</c:v>
                </c:pt>
                <c:pt idx="11">
                  <c:v>12.375</c:v>
                </c:pt>
                <c:pt idx="12">
                  <c:v>124.7</c:v>
                </c:pt>
                <c:pt idx="13">
                  <c:v>81.41</c:v>
                </c:pt>
                <c:pt idx="14">
                  <c:v>171.6</c:v>
                </c:pt>
                <c:pt idx="15">
                  <c:v>260.32499999999999</c:v>
                </c:pt>
                <c:pt idx="16">
                  <c:v>459.54999999999995</c:v>
                </c:pt>
                <c:pt idx="17">
                  <c:v>129.97499999999999</c:v>
                </c:pt>
                <c:pt idx="18">
                  <c:v>72.36</c:v>
                </c:pt>
                <c:pt idx="19">
                  <c:v>129.69</c:v>
                </c:pt>
                <c:pt idx="20">
                  <c:v>147.01499999999999</c:v>
                </c:pt>
              </c:numCache>
            </c:numRef>
          </c:val>
          <c:smooth val="0"/>
          <c:extLst>
            <c:ext xmlns:c16="http://schemas.microsoft.com/office/drawing/2014/chart" uri="{C3380CC4-5D6E-409C-BE32-E72D297353CC}">
              <c16:uniqueId val="{00000001-73F4-4D0F-AA5D-107092D49E47}"/>
            </c:ext>
          </c:extLst>
        </c:ser>
        <c:ser>
          <c:idx val="2"/>
          <c:order val="2"/>
          <c:tx>
            <c:strRef>
              <c:f>TotalSales!$E$3:$E$4</c:f>
              <c:strCache>
                <c:ptCount val="1"/>
                <c:pt idx="0">
                  <c:v>Liberica</c:v>
                </c:pt>
              </c:strCache>
            </c:strRef>
          </c:tx>
          <c:spPr>
            <a:ln w="28575" cap="rnd">
              <a:solidFill>
                <a:srgbClr val="0070C0"/>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TotalSales!$E$5:$E$29</c:f>
              <c:numCache>
                <c:formatCode>#,##0</c:formatCode>
                <c:ptCount val="21"/>
                <c:pt idx="0">
                  <c:v>175.20499999999998</c:v>
                </c:pt>
                <c:pt idx="1">
                  <c:v>28.53</c:v>
                </c:pt>
                <c:pt idx="2">
                  <c:v>64.08</c:v>
                </c:pt>
                <c:pt idx="3">
                  <c:v>135.22499999999999</c:v>
                </c:pt>
                <c:pt idx="4">
                  <c:v>119.13999999999999</c:v>
                </c:pt>
                <c:pt idx="5">
                  <c:v>70.86</c:v>
                </c:pt>
                <c:pt idx="6">
                  <c:v>200.89000000000001</c:v>
                </c:pt>
                <c:pt idx="7">
                  <c:v>244.06</c:v>
                </c:pt>
                <c:pt idx="8">
                  <c:v>278.14499999999998</c:v>
                </c:pt>
                <c:pt idx="9">
                  <c:v>328.95</c:v>
                </c:pt>
                <c:pt idx="10">
                  <c:v>263.315</c:v>
                </c:pt>
                <c:pt idx="11">
                  <c:v>187.77499999999998</c:v>
                </c:pt>
                <c:pt idx="12">
                  <c:v>52.305</c:v>
                </c:pt>
                <c:pt idx="13">
                  <c:v>125.58</c:v>
                </c:pt>
                <c:pt idx="14">
                  <c:v>124.71000000000001</c:v>
                </c:pt>
                <c:pt idx="15">
                  <c:v>285.57000000000005</c:v>
                </c:pt>
                <c:pt idx="16">
                  <c:v>275.08999999999997</c:v>
                </c:pt>
                <c:pt idx="17">
                  <c:v>146.37</c:v>
                </c:pt>
                <c:pt idx="18">
                  <c:v>463.28</c:v>
                </c:pt>
                <c:pt idx="19">
                  <c:v>67.400000000000006</c:v>
                </c:pt>
                <c:pt idx="20">
                  <c:v>4.3650000000000002</c:v>
                </c:pt>
              </c:numCache>
            </c:numRef>
          </c:val>
          <c:smooth val="0"/>
          <c:extLst>
            <c:ext xmlns:c16="http://schemas.microsoft.com/office/drawing/2014/chart" uri="{C3380CC4-5D6E-409C-BE32-E72D297353CC}">
              <c16:uniqueId val="{00000002-73F4-4D0F-AA5D-107092D49E47}"/>
            </c:ext>
          </c:extLst>
        </c:ser>
        <c:ser>
          <c:idx val="3"/>
          <c:order val="3"/>
          <c:tx>
            <c:strRef>
              <c:f>TotalSales!$F$3:$F$4</c:f>
              <c:strCache>
                <c:ptCount val="1"/>
                <c:pt idx="0">
                  <c:v>Robusta</c:v>
                </c:pt>
              </c:strCache>
            </c:strRef>
          </c:tx>
          <c:spPr>
            <a:ln w="28575" cap="rnd">
              <a:solidFill>
                <a:srgbClr val="76CEEA"/>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TotalSales!$F$5:$F$29</c:f>
              <c:numCache>
                <c:formatCode>#,##0</c:formatCode>
                <c:ptCount val="21"/>
                <c:pt idx="0">
                  <c:v>266.91000000000003</c:v>
                </c:pt>
                <c:pt idx="1">
                  <c:v>127.73999999999998</c:v>
                </c:pt>
                <c:pt idx="2">
                  <c:v>296.69</c:v>
                </c:pt>
                <c:pt idx="3">
                  <c:v>43.019999999999996</c:v>
                </c:pt>
                <c:pt idx="4">
                  <c:v>26.849999999999994</c:v>
                </c:pt>
                <c:pt idx="5">
                  <c:v>17.91</c:v>
                </c:pt>
                <c:pt idx="6">
                  <c:v>35.82</c:v>
                </c:pt>
                <c:pt idx="7">
                  <c:v>16.11</c:v>
                </c:pt>
                <c:pt idx="8">
                  <c:v>163.61999999999998</c:v>
                </c:pt>
                <c:pt idx="9">
                  <c:v>23.9</c:v>
                </c:pt>
                <c:pt idx="10">
                  <c:v>184.61999999999998</c:v>
                </c:pt>
                <c:pt idx="11">
                  <c:v>88.334999999999994</c:v>
                </c:pt>
                <c:pt idx="12">
                  <c:v>145.78999999999996</c:v>
                </c:pt>
                <c:pt idx="13">
                  <c:v>198.58499999999998</c:v>
                </c:pt>
                <c:pt idx="14">
                  <c:v>185.58999999999997</c:v>
                </c:pt>
                <c:pt idx="15">
                  <c:v>115.27999999999999</c:v>
                </c:pt>
                <c:pt idx="17">
                  <c:v>185.22499999999997</c:v>
                </c:pt>
                <c:pt idx="18">
                  <c:v>68.650000000000006</c:v>
                </c:pt>
                <c:pt idx="19">
                  <c:v>53.759999999999991</c:v>
                </c:pt>
                <c:pt idx="20">
                  <c:v>159.17499999999998</c:v>
                </c:pt>
              </c:numCache>
            </c:numRef>
          </c:val>
          <c:smooth val="0"/>
          <c:extLst>
            <c:ext xmlns:c16="http://schemas.microsoft.com/office/drawing/2014/chart" uri="{C3380CC4-5D6E-409C-BE32-E72D297353CC}">
              <c16:uniqueId val="{00000003-73F4-4D0F-AA5D-107092D49E47}"/>
            </c:ext>
          </c:extLst>
        </c:ser>
        <c:dLbls>
          <c:showLegendKey val="0"/>
          <c:showVal val="0"/>
          <c:showCatName val="0"/>
          <c:showSerName val="0"/>
          <c:showPercent val="0"/>
          <c:showBubbleSize val="0"/>
        </c:dLbls>
        <c:smooth val="0"/>
        <c:axId val="1817749647"/>
        <c:axId val="1614819887"/>
      </c:lineChart>
      <c:catAx>
        <c:axId val="181774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19887"/>
        <c:crosses val="autoZero"/>
        <c:auto val="1"/>
        <c:lblAlgn val="ctr"/>
        <c:lblOffset val="100"/>
        <c:noMultiLvlLbl val="0"/>
      </c:catAx>
      <c:valAx>
        <c:axId val="161481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74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C7DB93"/>
        </a:gs>
        <a:gs pos="25000">
          <a:srgbClr val="ADD672"/>
        </a:gs>
        <a:gs pos="0">
          <a:srgbClr val="62983E"/>
        </a:gs>
        <a:gs pos="62000">
          <a:srgbClr val="FDE8FE"/>
        </a:gs>
      </a:gsLst>
      <a:lin ang="2700000" scaled="1"/>
      <a:tileRect/>
    </a:gradFill>
    <a:ln w="9525" cap="flat" cmpd="sng" algn="ctr">
      <a:solidFill>
        <a:srgbClr val="4C743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2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rgbClr val="ED79DC"/>
          </a:solidFill>
          <a:ln w="22225">
            <a:solidFill>
              <a:srgbClr val="FDE8FE"/>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pivotFmt>
      <c:pivotFmt>
        <c:idx val="2"/>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3"/>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4"/>
        <c:spPr>
          <a:solidFill>
            <a:srgbClr val="ED79DC"/>
          </a:solidFill>
          <a:ln w="22225">
            <a:solidFill>
              <a:srgbClr val="FDE8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6"/>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7"/>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pivotFmt>
      <c:pivotFmt>
        <c:idx val="8"/>
        <c:spPr>
          <a:solidFill>
            <a:srgbClr val="ED79DC"/>
          </a:solidFill>
          <a:ln w="22225">
            <a:solidFill>
              <a:srgbClr val="FDE8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10"/>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11"/>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ED79DC"/>
            </a:solidFill>
            <a:ln w="22225">
              <a:solidFill>
                <a:srgbClr val="FDE8FE"/>
              </a:solidFill>
            </a:ln>
            <a:effectLst/>
          </c:spPr>
          <c:invertIfNegative val="0"/>
          <c:dPt>
            <c:idx val="0"/>
            <c:invertIfNegative val="0"/>
            <c:bubble3D val="0"/>
            <c:spPr>
              <a:gradFill>
                <a:gsLst>
                  <a:gs pos="0">
                    <a:srgbClr val="F9C4FC"/>
                  </a:gs>
                  <a:gs pos="45000">
                    <a:srgbClr val="EF89E0"/>
                  </a:gs>
                  <a:gs pos="15000">
                    <a:srgbClr val="F9C4FC"/>
                  </a:gs>
                  <a:gs pos="68000">
                    <a:srgbClr val="EB67D8"/>
                  </a:gs>
                </a:gsLst>
                <a:lin ang="8100000" scaled="1"/>
              </a:gradFill>
              <a:ln w="22225">
                <a:solidFill>
                  <a:srgbClr val="FDE8FE"/>
                </a:solidFill>
              </a:ln>
              <a:effectLst/>
            </c:spPr>
            <c:extLst>
              <c:ext xmlns:c16="http://schemas.microsoft.com/office/drawing/2014/chart" uri="{C3380CC4-5D6E-409C-BE32-E72D297353CC}">
                <c16:uniqueId val="{00000001-E0E4-4F7B-81AA-FC3780E20336}"/>
              </c:ext>
            </c:extLst>
          </c:dPt>
          <c:dPt>
            <c:idx val="1"/>
            <c:invertIfNegative val="0"/>
            <c:bubble3D val="0"/>
            <c:spPr>
              <a:gradFill>
                <a:gsLst>
                  <a:gs pos="0">
                    <a:srgbClr val="F9C4FC"/>
                  </a:gs>
                  <a:gs pos="45000">
                    <a:srgbClr val="EF89E0"/>
                  </a:gs>
                  <a:gs pos="15000">
                    <a:srgbClr val="F9C4FC"/>
                  </a:gs>
                  <a:gs pos="68000">
                    <a:srgbClr val="EB67D8"/>
                  </a:gs>
                </a:gsLst>
                <a:lin ang="8100000" scaled="1"/>
              </a:gradFill>
              <a:ln w="22225">
                <a:solidFill>
                  <a:srgbClr val="FDE8FE"/>
                </a:solidFill>
              </a:ln>
              <a:effectLst/>
            </c:spPr>
            <c:extLst>
              <c:ext xmlns:c16="http://schemas.microsoft.com/office/drawing/2014/chart" uri="{C3380CC4-5D6E-409C-BE32-E72D297353CC}">
                <c16:uniqueId val="{00000003-E0E4-4F7B-81AA-FC3780E20336}"/>
              </c:ext>
            </c:extLst>
          </c:dPt>
          <c:dPt>
            <c:idx val="2"/>
            <c:invertIfNegative val="0"/>
            <c:bubble3D val="0"/>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extLst>
              <c:ext xmlns:c16="http://schemas.microsoft.com/office/drawing/2014/chart" uri="{C3380CC4-5D6E-409C-BE32-E72D297353CC}">
                <c16:uniqueId val="{00000005-E0E4-4F7B-81AA-FC3780E20336}"/>
              </c:ext>
            </c:extLst>
          </c:dPt>
          <c:cat>
            <c:strRef>
              <c:f>CountryBarChart!$A$4:$A$7</c:f>
              <c:strCache>
                <c:ptCount val="3"/>
                <c:pt idx="0">
                  <c:v>United Kingdom</c:v>
                </c:pt>
                <c:pt idx="1">
                  <c:v>Ireland</c:v>
                </c:pt>
                <c:pt idx="2">
                  <c:v>United States</c:v>
                </c:pt>
              </c:strCache>
            </c:strRef>
          </c:cat>
          <c:val>
            <c:numRef>
              <c:f>CountryBarChart!$B$4:$B$7</c:f>
              <c:numCache>
                <c:formatCode>[$$-45C]#,##0</c:formatCode>
                <c:ptCount val="3"/>
                <c:pt idx="0">
                  <c:v>737.19999999999993</c:v>
                </c:pt>
                <c:pt idx="1">
                  <c:v>1908.665</c:v>
                </c:pt>
                <c:pt idx="2">
                  <c:v>9327.0300000000043</c:v>
                </c:pt>
              </c:numCache>
            </c:numRef>
          </c:val>
          <c:extLst>
            <c:ext xmlns:c16="http://schemas.microsoft.com/office/drawing/2014/chart" uri="{C3380CC4-5D6E-409C-BE32-E72D297353CC}">
              <c16:uniqueId val="{00000006-E0E4-4F7B-81AA-FC3780E20336}"/>
            </c:ext>
          </c:extLst>
        </c:ser>
        <c:dLbls>
          <c:showLegendKey val="0"/>
          <c:showVal val="0"/>
          <c:showCatName val="0"/>
          <c:showSerName val="0"/>
          <c:showPercent val="0"/>
          <c:showBubbleSize val="0"/>
        </c:dLbls>
        <c:gapWidth val="182"/>
        <c:axId val="1813882191"/>
        <c:axId val="1615070927"/>
      </c:barChart>
      <c:catAx>
        <c:axId val="181388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615070927"/>
        <c:crosses val="autoZero"/>
        <c:auto val="1"/>
        <c:lblAlgn val="ctr"/>
        <c:lblOffset val="100"/>
        <c:noMultiLvlLbl val="0"/>
      </c:catAx>
      <c:valAx>
        <c:axId val="1615070927"/>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81388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7000">
          <a:srgbClr val="C7DB93"/>
        </a:gs>
        <a:gs pos="36000">
          <a:srgbClr val="ADD672"/>
        </a:gs>
        <a:gs pos="20000">
          <a:srgbClr val="88B758"/>
        </a:gs>
        <a:gs pos="0">
          <a:srgbClr val="62983E"/>
        </a:gs>
        <a:gs pos="91000">
          <a:srgbClr val="FDE8FE"/>
        </a:gs>
      </a:gsLst>
      <a:lin ang="8100000" scaled="1"/>
    </a:gradFill>
    <a:ln w="9525" cap="flat" cmpd="sng" algn="ctr">
      <a:solidFill>
        <a:srgbClr val="4C7430"/>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BA42C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6CE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BA42CE"/>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TotalSales!$C$5:$C$29</c:f>
              <c:numCache>
                <c:formatCode>#,##0</c:formatCode>
                <c:ptCount val="21"/>
                <c:pt idx="0">
                  <c:v>79.47</c:v>
                </c:pt>
                <c:pt idx="1">
                  <c:v>22.5</c:v>
                </c:pt>
                <c:pt idx="2">
                  <c:v>101.49</c:v>
                </c:pt>
                <c:pt idx="3">
                  <c:v>97.874999999999986</c:v>
                </c:pt>
                <c:pt idx="4">
                  <c:v>165.23499999999999</c:v>
                </c:pt>
                <c:pt idx="5">
                  <c:v>23.88</c:v>
                </c:pt>
                <c:pt idx="6">
                  <c:v>106.47</c:v>
                </c:pt>
                <c:pt idx="7">
                  <c:v>169.99999999999997</c:v>
                </c:pt>
                <c:pt idx="8">
                  <c:v>192.40499999999997</c:v>
                </c:pt>
                <c:pt idx="9">
                  <c:v>62.91</c:v>
                </c:pt>
                <c:pt idx="10">
                  <c:v>143.22</c:v>
                </c:pt>
                <c:pt idx="11">
                  <c:v>279.70499999999998</c:v>
                </c:pt>
                <c:pt idx="12">
                  <c:v>109.005</c:v>
                </c:pt>
                <c:pt idx="13">
                  <c:v>119.41999999999999</c:v>
                </c:pt>
                <c:pt idx="14">
                  <c:v>667.51499999999999</c:v>
                </c:pt>
                <c:pt idx="15">
                  <c:v>242.99999999999997</c:v>
                </c:pt>
                <c:pt idx="16">
                  <c:v>63.314999999999998</c:v>
                </c:pt>
                <c:pt idx="17">
                  <c:v>201.86999999999998</c:v>
                </c:pt>
                <c:pt idx="18">
                  <c:v>30.06</c:v>
                </c:pt>
                <c:pt idx="19">
                  <c:v>49.209999999999994</c:v>
                </c:pt>
                <c:pt idx="20">
                  <c:v>45</c:v>
                </c:pt>
              </c:numCache>
            </c:numRef>
          </c:val>
          <c:smooth val="0"/>
          <c:extLst>
            <c:ext xmlns:c16="http://schemas.microsoft.com/office/drawing/2014/chart" uri="{C3380CC4-5D6E-409C-BE32-E72D297353CC}">
              <c16:uniqueId val="{00000000-7D16-4828-B1E7-DF092C4916A5}"/>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TotalSales!$D$5:$D$29</c:f>
              <c:numCache>
                <c:formatCode>#,##0</c:formatCode>
                <c:ptCount val="21"/>
                <c:pt idx="0">
                  <c:v>110</c:v>
                </c:pt>
                <c:pt idx="1">
                  <c:v>77.72</c:v>
                </c:pt>
                <c:pt idx="2">
                  <c:v>195.11</c:v>
                </c:pt>
                <c:pt idx="3">
                  <c:v>156.655</c:v>
                </c:pt>
                <c:pt idx="5">
                  <c:v>354.67499999999995</c:v>
                </c:pt>
                <c:pt idx="6">
                  <c:v>12.15</c:v>
                </c:pt>
                <c:pt idx="7">
                  <c:v>48.6</c:v>
                </c:pt>
                <c:pt idx="8">
                  <c:v>307.38499999999999</c:v>
                </c:pt>
                <c:pt idx="9">
                  <c:v>8.91</c:v>
                </c:pt>
                <c:pt idx="10">
                  <c:v>94.710000000000008</c:v>
                </c:pt>
                <c:pt idx="11">
                  <c:v>12.375</c:v>
                </c:pt>
                <c:pt idx="12">
                  <c:v>124.7</c:v>
                </c:pt>
                <c:pt idx="13">
                  <c:v>81.41</c:v>
                </c:pt>
                <c:pt idx="14">
                  <c:v>171.6</c:v>
                </c:pt>
                <c:pt idx="15">
                  <c:v>260.32499999999999</c:v>
                </c:pt>
                <c:pt idx="16">
                  <c:v>459.54999999999995</c:v>
                </c:pt>
                <c:pt idx="17">
                  <c:v>129.97499999999999</c:v>
                </c:pt>
                <c:pt idx="18">
                  <c:v>72.36</c:v>
                </c:pt>
                <c:pt idx="19">
                  <c:v>129.69</c:v>
                </c:pt>
                <c:pt idx="20">
                  <c:v>147.01499999999999</c:v>
                </c:pt>
              </c:numCache>
            </c:numRef>
          </c:val>
          <c:smooth val="0"/>
          <c:extLst>
            <c:ext xmlns:c16="http://schemas.microsoft.com/office/drawing/2014/chart" uri="{C3380CC4-5D6E-409C-BE32-E72D297353CC}">
              <c16:uniqueId val="{00000005-7D16-4828-B1E7-DF092C4916A5}"/>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TotalSales!$E$5:$E$29</c:f>
              <c:numCache>
                <c:formatCode>#,##0</c:formatCode>
                <c:ptCount val="21"/>
                <c:pt idx="0">
                  <c:v>175.20499999999998</c:v>
                </c:pt>
                <c:pt idx="1">
                  <c:v>28.53</c:v>
                </c:pt>
                <c:pt idx="2">
                  <c:v>64.08</c:v>
                </c:pt>
                <c:pt idx="3">
                  <c:v>135.22499999999999</c:v>
                </c:pt>
                <c:pt idx="4">
                  <c:v>119.13999999999999</c:v>
                </c:pt>
                <c:pt idx="5">
                  <c:v>70.86</c:v>
                </c:pt>
                <c:pt idx="6">
                  <c:v>200.89000000000001</c:v>
                </c:pt>
                <c:pt idx="7">
                  <c:v>244.06</c:v>
                </c:pt>
                <c:pt idx="8">
                  <c:v>278.14499999999998</c:v>
                </c:pt>
                <c:pt idx="9">
                  <c:v>328.95</c:v>
                </c:pt>
                <c:pt idx="10">
                  <c:v>263.315</c:v>
                </c:pt>
                <c:pt idx="11">
                  <c:v>187.77499999999998</c:v>
                </c:pt>
                <c:pt idx="12">
                  <c:v>52.305</c:v>
                </c:pt>
                <c:pt idx="13">
                  <c:v>125.58</c:v>
                </c:pt>
                <c:pt idx="14">
                  <c:v>124.71000000000001</c:v>
                </c:pt>
                <c:pt idx="15">
                  <c:v>285.57000000000005</c:v>
                </c:pt>
                <c:pt idx="16">
                  <c:v>275.08999999999997</c:v>
                </c:pt>
                <c:pt idx="17">
                  <c:v>146.37</c:v>
                </c:pt>
                <c:pt idx="18">
                  <c:v>463.28</c:v>
                </c:pt>
                <c:pt idx="19">
                  <c:v>67.400000000000006</c:v>
                </c:pt>
                <c:pt idx="20">
                  <c:v>4.3650000000000002</c:v>
                </c:pt>
              </c:numCache>
            </c:numRef>
          </c:val>
          <c:smooth val="0"/>
          <c:extLst>
            <c:ext xmlns:c16="http://schemas.microsoft.com/office/drawing/2014/chart" uri="{C3380CC4-5D6E-409C-BE32-E72D297353CC}">
              <c16:uniqueId val="{00000006-7D16-4828-B1E7-DF092C4916A5}"/>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TotalSales!$A$5:$B$29</c:f>
              <c:multiLvlStrCache>
                <c:ptCount val="21"/>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lvl>
                <c:lvl>
                  <c:pt idx="0">
                    <c:v>2020</c:v>
                  </c:pt>
                  <c:pt idx="6">
                    <c:v>2021</c:v>
                  </c:pt>
                  <c:pt idx="18">
                    <c:v>2022</c:v>
                  </c:pt>
                </c:lvl>
              </c:multiLvlStrCache>
            </c:multiLvlStrRef>
          </c:cat>
          <c:val>
            <c:numRef>
              <c:f>TotalSales!$F$5:$F$29</c:f>
              <c:numCache>
                <c:formatCode>#,##0</c:formatCode>
                <c:ptCount val="21"/>
                <c:pt idx="0">
                  <c:v>266.91000000000003</c:v>
                </c:pt>
                <c:pt idx="1">
                  <c:v>127.73999999999998</c:v>
                </c:pt>
                <c:pt idx="2">
                  <c:v>296.69</c:v>
                </c:pt>
                <c:pt idx="3">
                  <c:v>43.019999999999996</c:v>
                </c:pt>
                <c:pt idx="4">
                  <c:v>26.849999999999994</c:v>
                </c:pt>
                <c:pt idx="5">
                  <c:v>17.91</c:v>
                </c:pt>
                <c:pt idx="6">
                  <c:v>35.82</c:v>
                </c:pt>
                <c:pt idx="7">
                  <c:v>16.11</c:v>
                </c:pt>
                <c:pt idx="8">
                  <c:v>163.61999999999998</c:v>
                </c:pt>
                <c:pt idx="9">
                  <c:v>23.9</c:v>
                </c:pt>
                <c:pt idx="10">
                  <c:v>184.61999999999998</c:v>
                </c:pt>
                <c:pt idx="11">
                  <c:v>88.334999999999994</c:v>
                </c:pt>
                <c:pt idx="12">
                  <c:v>145.78999999999996</c:v>
                </c:pt>
                <c:pt idx="13">
                  <c:v>198.58499999999998</c:v>
                </c:pt>
                <c:pt idx="14">
                  <c:v>185.58999999999997</c:v>
                </c:pt>
                <c:pt idx="15">
                  <c:v>115.27999999999999</c:v>
                </c:pt>
                <c:pt idx="17">
                  <c:v>185.22499999999997</c:v>
                </c:pt>
                <c:pt idx="18">
                  <c:v>68.650000000000006</c:v>
                </c:pt>
                <c:pt idx="19">
                  <c:v>53.759999999999991</c:v>
                </c:pt>
                <c:pt idx="20">
                  <c:v>159.17499999999998</c:v>
                </c:pt>
              </c:numCache>
            </c:numRef>
          </c:val>
          <c:smooth val="0"/>
          <c:extLst>
            <c:ext xmlns:c16="http://schemas.microsoft.com/office/drawing/2014/chart" uri="{C3380CC4-5D6E-409C-BE32-E72D297353CC}">
              <c16:uniqueId val="{00000007-7D16-4828-B1E7-DF092C4916A5}"/>
            </c:ext>
          </c:extLst>
        </c:ser>
        <c:dLbls>
          <c:showLegendKey val="0"/>
          <c:showVal val="0"/>
          <c:showCatName val="0"/>
          <c:showSerName val="0"/>
          <c:showPercent val="0"/>
          <c:showBubbleSize val="0"/>
        </c:dLbls>
        <c:smooth val="0"/>
        <c:axId val="1817749647"/>
        <c:axId val="1614819887"/>
      </c:lineChart>
      <c:catAx>
        <c:axId val="181774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19887"/>
        <c:crosses val="autoZero"/>
        <c:auto val="1"/>
        <c:lblAlgn val="ctr"/>
        <c:lblOffset val="100"/>
        <c:noMultiLvlLbl val="0"/>
      </c:catAx>
      <c:valAx>
        <c:axId val="161481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74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0000">
          <a:srgbClr val="C7DB93"/>
        </a:gs>
        <a:gs pos="0">
          <a:srgbClr val="92D050"/>
        </a:gs>
        <a:gs pos="62000">
          <a:srgbClr val="FDE8FE"/>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26"/>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rgbClr val="ED79DC"/>
          </a:solidFill>
          <a:ln w="22225">
            <a:solidFill>
              <a:srgbClr val="FDE8FE"/>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pivotFmt>
      <c:pivotFmt>
        <c:idx val="2"/>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3"/>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4"/>
        <c:spPr>
          <a:solidFill>
            <a:srgbClr val="ED79DC"/>
          </a:solidFill>
          <a:ln w="22225">
            <a:solidFill>
              <a:srgbClr val="FDE8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6"/>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7"/>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ED79DC"/>
            </a:solidFill>
            <a:ln w="22225">
              <a:solidFill>
                <a:srgbClr val="FDE8FE"/>
              </a:solidFill>
            </a:ln>
            <a:effectLst/>
          </c:spPr>
          <c:invertIfNegative val="0"/>
          <c:dPt>
            <c:idx val="0"/>
            <c:invertIfNegative val="0"/>
            <c:bubble3D val="0"/>
            <c:extLst>
              <c:ext xmlns:c16="http://schemas.microsoft.com/office/drawing/2014/chart" uri="{C3380CC4-5D6E-409C-BE32-E72D297353CC}">
                <c16:uniqueId val="{00000001-ACAD-4293-BCF4-9B9AD3505170}"/>
              </c:ext>
            </c:extLst>
          </c:dPt>
          <c:dPt>
            <c:idx val="1"/>
            <c:invertIfNegative val="0"/>
            <c:bubble3D val="0"/>
            <c:extLst>
              <c:ext xmlns:c16="http://schemas.microsoft.com/office/drawing/2014/chart" uri="{C3380CC4-5D6E-409C-BE32-E72D297353CC}">
                <c16:uniqueId val="{00000003-ACAD-4293-BCF4-9B9AD3505170}"/>
              </c:ext>
            </c:extLst>
          </c:dPt>
          <c:dPt>
            <c:idx val="2"/>
            <c:invertIfNegative val="0"/>
            <c:bubble3D val="0"/>
            <c:extLst>
              <c:ext xmlns:c16="http://schemas.microsoft.com/office/drawing/2014/chart" uri="{C3380CC4-5D6E-409C-BE32-E72D297353CC}">
                <c16:uniqueId val="{00000005-ACAD-4293-BCF4-9B9AD3505170}"/>
              </c:ext>
            </c:extLst>
          </c:dPt>
          <c:cat>
            <c:strRef>
              <c:f>Top5Customers!$A$4:$A$9</c:f>
              <c:strCache>
                <c:ptCount val="5"/>
                <c:pt idx="0">
                  <c:v>Elvina Angel</c:v>
                </c:pt>
                <c:pt idx="1">
                  <c:v>Petey Kingsbury</c:v>
                </c:pt>
                <c:pt idx="2">
                  <c:v>Alexa Sizey</c:v>
                </c:pt>
                <c:pt idx="3">
                  <c:v>Derick Snow</c:v>
                </c:pt>
                <c:pt idx="4">
                  <c:v>Nealson Cuttler</c:v>
                </c:pt>
              </c:strCache>
            </c:strRef>
          </c:cat>
          <c:val>
            <c:numRef>
              <c:f>Top5Customers!$B$4:$B$9</c:f>
              <c:numCache>
                <c:formatCode>[$$-45C]#,##0</c:formatCode>
                <c:ptCount val="5"/>
                <c:pt idx="0">
                  <c:v>164.90999999999997</c:v>
                </c:pt>
                <c:pt idx="1">
                  <c:v>178.70999999999998</c:v>
                </c:pt>
                <c:pt idx="2">
                  <c:v>218.73</c:v>
                </c:pt>
                <c:pt idx="3">
                  <c:v>230.87499999999997</c:v>
                </c:pt>
                <c:pt idx="4">
                  <c:v>281.67499999999995</c:v>
                </c:pt>
              </c:numCache>
            </c:numRef>
          </c:val>
          <c:extLst>
            <c:ext xmlns:c16="http://schemas.microsoft.com/office/drawing/2014/chart" uri="{C3380CC4-5D6E-409C-BE32-E72D297353CC}">
              <c16:uniqueId val="{00000006-ACAD-4293-BCF4-9B9AD3505170}"/>
            </c:ext>
          </c:extLst>
        </c:ser>
        <c:dLbls>
          <c:showLegendKey val="0"/>
          <c:showVal val="0"/>
          <c:showCatName val="0"/>
          <c:showSerName val="0"/>
          <c:showPercent val="0"/>
          <c:showBubbleSize val="0"/>
        </c:dLbls>
        <c:gapWidth val="182"/>
        <c:axId val="1813882191"/>
        <c:axId val="1615070927"/>
      </c:barChart>
      <c:catAx>
        <c:axId val="181388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615070927"/>
        <c:crosses val="autoZero"/>
        <c:auto val="1"/>
        <c:lblAlgn val="ctr"/>
        <c:lblOffset val="100"/>
        <c:noMultiLvlLbl val="0"/>
      </c:catAx>
      <c:valAx>
        <c:axId val="1615070927"/>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81388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7000">
          <a:srgbClr val="C7DB93"/>
        </a:gs>
        <a:gs pos="36000">
          <a:srgbClr val="ADD672"/>
        </a:gs>
        <a:gs pos="20000">
          <a:srgbClr val="88B758"/>
        </a:gs>
        <a:gs pos="0">
          <a:srgbClr val="62983E"/>
        </a:gs>
        <a:gs pos="91000">
          <a:srgbClr val="FDE8FE"/>
        </a:gs>
      </a:gsLst>
      <a:lin ang="8100000" scaled="1"/>
    </a:gra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b="1">
                <a:solidFill>
                  <a:schemeClr val="bg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rgbClr val="ED79DC"/>
          </a:solidFill>
          <a:ln w="22225">
            <a:solidFill>
              <a:srgbClr val="FDE8FE"/>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pivotFmt>
      <c:pivotFmt>
        <c:idx val="2"/>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
        <c:idx val="3"/>
        <c:spPr>
          <a:gradFill>
            <a:gsLst>
              <a:gs pos="0">
                <a:srgbClr val="F9C4FC"/>
              </a:gs>
              <a:gs pos="45000">
                <a:srgbClr val="EF89E0"/>
              </a:gs>
              <a:gs pos="15000">
                <a:srgbClr val="F9C4FC"/>
              </a:gs>
              <a:gs pos="68000">
                <a:srgbClr val="EB67D8"/>
              </a:gs>
            </a:gsLst>
            <a:lin ang="8100000" scaled="1"/>
          </a:gradFill>
          <a:ln w="22225">
            <a:solidFill>
              <a:srgbClr val="FDE8FE"/>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ED79DC"/>
            </a:solidFill>
            <a:ln w="22225">
              <a:solidFill>
                <a:srgbClr val="FDE8FE"/>
              </a:solidFill>
            </a:ln>
            <a:effectLst/>
          </c:spPr>
          <c:invertIfNegative val="0"/>
          <c:dPt>
            <c:idx val="0"/>
            <c:invertIfNegative val="0"/>
            <c:bubble3D val="0"/>
            <c:spPr>
              <a:gradFill>
                <a:gsLst>
                  <a:gs pos="0">
                    <a:srgbClr val="F9C4FC"/>
                  </a:gs>
                  <a:gs pos="45000">
                    <a:srgbClr val="EF89E0"/>
                  </a:gs>
                  <a:gs pos="15000">
                    <a:srgbClr val="F9C4FC"/>
                  </a:gs>
                  <a:gs pos="68000">
                    <a:srgbClr val="EB67D8"/>
                  </a:gs>
                </a:gsLst>
                <a:lin ang="8100000" scaled="1"/>
              </a:gradFill>
              <a:ln w="22225">
                <a:solidFill>
                  <a:srgbClr val="FDE8FE"/>
                </a:solidFill>
              </a:ln>
              <a:effectLst/>
            </c:spPr>
            <c:extLst>
              <c:ext xmlns:c16="http://schemas.microsoft.com/office/drawing/2014/chart" uri="{C3380CC4-5D6E-409C-BE32-E72D297353CC}">
                <c16:uniqueId val="{00000004-AD52-4B4D-BA7F-AE039993C015}"/>
              </c:ext>
            </c:extLst>
          </c:dPt>
          <c:dPt>
            <c:idx val="1"/>
            <c:invertIfNegative val="0"/>
            <c:bubble3D val="0"/>
            <c:spPr>
              <a:gradFill>
                <a:gsLst>
                  <a:gs pos="0">
                    <a:srgbClr val="F9C4FC"/>
                  </a:gs>
                  <a:gs pos="45000">
                    <a:srgbClr val="EF89E0"/>
                  </a:gs>
                  <a:gs pos="15000">
                    <a:srgbClr val="F9C4FC"/>
                  </a:gs>
                  <a:gs pos="68000">
                    <a:srgbClr val="EB67D8"/>
                  </a:gs>
                </a:gsLst>
                <a:lin ang="8100000" scaled="1"/>
              </a:gradFill>
              <a:ln w="22225">
                <a:solidFill>
                  <a:srgbClr val="FDE8FE"/>
                </a:solidFill>
              </a:ln>
              <a:effectLst/>
            </c:spPr>
            <c:extLst>
              <c:ext xmlns:c16="http://schemas.microsoft.com/office/drawing/2014/chart" uri="{C3380CC4-5D6E-409C-BE32-E72D297353CC}">
                <c16:uniqueId val="{00000003-AD52-4B4D-BA7F-AE039993C015}"/>
              </c:ext>
            </c:extLst>
          </c:dPt>
          <c:dPt>
            <c:idx val="2"/>
            <c:invertIfNegative val="0"/>
            <c:bubble3D val="0"/>
            <c:spPr>
              <a:gradFill flip="none" rotWithShape="1">
                <a:gsLst>
                  <a:gs pos="0">
                    <a:srgbClr val="F9C4FC"/>
                  </a:gs>
                  <a:gs pos="45000">
                    <a:srgbClr val="EF89E0"/>
                  </a:gs>
                  <a:gs pos="15000">
                    <a:srgbClr val="F9C4FC"/>
                  </a:gs>
                  <a:gs pos="68000">
                    <a:srgbClr val="EB67D8"/>
                  </a:gs>
                </a:gsLst>
                <a:lin ang="8100000" scaled="1"/>
                <a:tileRect/>
              </a:gradFill>
              <a:ln w="22225">
                <a:solidFill>
                  <a:srgbClr val="FDE8FE"/>
                </a:solidFill>
              </a:ln>
              <a:effectLst/>
            </c:spPr>
            <c:extLst>
              <c:ext xmlns:c16="http://schemas.microsoft.com/office/drawing/2014/chart" uri="{C3380CC4-5D6E-409C-BE32-E72D297353CC}">
                <c16:uniqueId val="{00000002-AD52-4B4D-BA7F-AE039993C015}"/>
              </c:ext>
            </c:extLst>
          </c:dPt>
          <c:cat>
            <c:strRef>
              <c:f>CountryBarChart!$A$4:$A$7</c:f>
              <c:strCache>
                <c:ptCount val="3"/>
                <c:pt idx="0">
                  <c:v>United Kingdom</c:v>
                </c:pt>
                <c:pt idx="1">
                  <c:v>Ireland</c:v>
                </c:pt>
                <c:pt idx="2">
                  <c:v>United States</c:v>
                </c:pt>
              </c:strCache>
            </c:strRef>
          </c:cat>
          <c:val>
            <c:numRef>
              <c:f>CountryBarChart!$B$4:$B$7</c:f>
              <c:numCache>
                <c:formatCode>[$$-45C]#,##0</c:formatCode>
                <c:ptCount val="3"/>
                <c:pt idx="0">
                  <c:v>737.19999999999993</c:v>
                </c:pt>
                <c:pt idx="1">
                  <c:v>1908.665</c:v>
                </c:pt>
                <c:pt idx="2">
                  <c:v>9327.0300000000043</c:v>
                </c:pt>
              </c:numCache>
            </c:numRef>
          </c:val>
          <c:extLst>
            <c:ext xmlns:c16="http://schemas.microsoft.com/office/drawing/2014/chart" uri="{C3380CC4-5D6E-409C-BE32-E72D297353CC}">
              <c16:uniqueId val="{00000000-AD52-4B4D-BA7F-AE039993C015}"/>
            </c:ext>
          </c:extLst>
        </c:ser>
        <c:dLbls>
          <c:showLegendKey val="0"/>
          <c:showVal val="0"/>
          <c:showCatName val="0"/>
          <c:showSerName val="0"/>
          <c:showPercent val="0"/>
          <c:showBubbleSize val="0"/>
        </c:dLbls>
        <c:gapWidth val="182"/>
        <c:axId val="1813882191"/>
        <c:axId val="1615070927"/>
      </c:barChart>
      <c:catAx>
        <c:axId val="181388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615070927"/>
        <c:crosses val="autoZero"/>
        <c:auto val="1"/>
        <c:lblAlgn val="ctr"/>
        <c:lblOffset val="100"/>
        <c:noMultiLvlLbl val="0"/>
      </c:catAx>
      <c:valAx>
        <c:axId val="1615070927"/>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81388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7000">
          <a:srgbClr val="C7DB93"/>
        </a:gs>
        <a:gs pos="36000">
          <a:srgbClr val="ADD672"/>
        </a:gs>
        <a:gs pos="20000">
          <a:srgbClr val="88B758"/>
        </a:gs>
        <a:gs pos="0">
          <a:srgbClr val="62983E"/>
        </a:gs>
        <a:gs pos="91000">
          <a:srgbClr val="FDE8FE"/>
        </a:gs>
      </a:gsLst>
      <a:lin ang="8100000" scaled="1"/>
    </a:gra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0675A989-1152-478C-353C-8D7F331449CA}"/>
            </a:ext>
          </a:extLst>
        </xdr:cNvPr>
        <xdr:cNvSpPr/>
      </xdr:nvSpPr>
      <xdr:spPr>
        <a:xfrm>
          <a:off x="119063" y="52917"/>
          <a:ext cx="15213541" cy="740833"/>
        </a:xfrm>
        <a:prstGeom prst="rect">
          <a:avLst/>
        </a:prstGeom>
        <a:solidFill>
          <a:srgbClr val="4C7430"/>
        </a:solidFill>
        <a:ln>
          <a:solidFill>
            <a:srgbClr val="6298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3200"/>
            <a:t>COFFEE</a:t>
          </a:r>
          <a:r>
            <a:rPr lang="en-MY" sz="3200" baseline="0"/>
            <a:t> SALES DASHBOARD</a:t>
          </a:r>
          <a:endParaRPr lang="en-MY" sz="3200"/>
        </a:p>
      </xdr:txBody>
    </xdr:sp>
    <xdr:clientData/>
  </xdr:twoCellAnchor>
  <xdr:twoCellAnchor>
    <xdr:from>
      <xdr:col>0</xdr:col>
      <xdr:colOff>87910</xdr:colOff>
      <xdr:row>13</xdr:row>
      <xdr:rowOff>66147</xdr:rowOff>
    </xdr:from>
    <xdr:to>
      <xdr:col>14</xdr:col>
      <xdr:colOff>463237</xdr:colOff>
      <xdr:row>32</xdr:row>
      <xdr:rowOff>145521</xdr:rowOff>
    </xdr:to>
    <xdr:graphicFrame macro="">
      <xdr:nvGraphicFramePr>
        <xdr:cNvPr id="6" name="Chart 5">
          <a:extLst>
            <a:ext uri="{FF2B5EF4-FFF2-40B4-BE49-F238E27FC236}">
              <a16:creationId xmlns:a16="http://schemas.microsoft.com/office/drawing/2014/main" id="{34A8628D-56F8-41F9-99A0-F71A54F4E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92604</xdr:colOff>
      <xdr:row>4</xdr:row>
      <xdr:rowOff>171979</xdr:rowOff>
    </xdr:from>
    <xdr:to>
      <xdr:col>19</xdr:col>
      <xdr:colOff>264583</xdr:colOff>
      <xdr:row>13</xdr:row>
      <xdr:rowOff>52916</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89927BED-A2D1-4323-A0AC-7B2593FEE0D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92604" y="792212"/>
              <a:ext cx="11247560" cy="1575501"/>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19</xdr:col>
      <xdr:colOff>291042</xdr:colOff>
      <xdr:row>5</xdr:row>
      <xdr:rowOff>7349</xdr:rowOff>
    </xdr:from>
    <xdr:to>
      <xdr:col>26</xdr:col>
      <xdr:colOff>3174</xdr:colOff>
      <xdr:row>8</xdr:row>
      <xdr:rowOff>135965</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61360D5B-BF98-48BB-B946-21068FA5A80C}"/>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366623" y="815866"/>
              <a:ext cx="3976231" cy="69347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280752</xdr:colOff>
      <xdr:row>8</xdr:row>
      <xdr:rowOff>79375</xdr:rowOff>
    </xdr:from>
    <xdr:to>
      <xdr:col>23</xdr:col>
      <xdr:colOff>64323</xdr:colOff>
      <xdr:row>13</xdr:row>
      <xdr:rowOff>77257</xdr:rowOff>
    </xdr:to>
    <mc:AlternateContent xmlns:mc="http://schemas.openxmlformats.org/markup-compatibility/2006">
      <mc:Choice xmlns:a14="http://schemas.microsoft.com/office/drawing/2010/main" Requires="a14">
        <xdr:graphicFrame macro="">
          <xdr:nvGraphicFramePr>
            <xdr:cNvPr id="9" name="Size 1">
              <a:extLst>
                <a:ext uri="{FF2B5EF4-FFF2-40B4-BE49-F238E27FC236}">
                  <a16:creationId xmlns:a16="http://schemas.microsoft.com/office/drawing/2014/main" id="{346CEF68-39E7-4D63-A85C-E9E85B4E482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356333" y="1452747"/>
              <a:ext cx="2220199" cy="93930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80846</xdr:colOff>
      <xdr:row>8</xdr:row>
      <xdr:rowOff>79375</xdr:rowOff>
    </xdr:from>
    <xdr:to>
      <xdr:col>26</xdr:col>
      <xdr:colOff>0</xdr:colOff>
      <xdr:row>13</xdr:row>
      <xdr:rowOff>79639</xdr:rowOff>
    </xdr:to>
    <mc:AlternateContent xmlns:mc="http://schemas.openxmlformats.org/markup-compatibility/2006">
      <mc:Choice xmlns:a14="http://schemas.microsoft.com/office/drawing/2010/main" Requires="a14">
        <xdr:graphicFrame macro="">
          <xdr:nvGraphicFramePr>
            <xdr:cNvPr id="10" name="Loyalty Card 1">
              <a:extLst>
                <a:ext uri="{FF2B5EF4-FFF2-40B4-BE49-F238E27FC236}">
                  <a16:creationId xmlns:a16="http://schemas.microsoft.com/office/drawing/2014/main" id="{5046B526-02F9-4165-9535-8304652E699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593055" y="1452747"/>
              <a:ext cx="1746625" cy="94168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458754</xdr:colOff>
      <xdr:row>13</xdr:row>
      <xdr:rowOff>66146</xdr:rowOff>
    </xdr:from>
    <xdr:to>
      <xdr:col>26</xdr:col>
      <xdr:colOff>7278</xdr:colOff>
      <xdr:row>32</xdr:row>
      <xdr:rowOff>145257</xdr:rowOff>
    </xdr:to>
    <xdr:graphicFrame macro="">
      <xdr:nvGraphicFramePr>
        <xdr:cNvPr id="11" name="Chart 10">
          <a:extLst>
            <a:ext uri="{FF2B5EF4-FFF2-40B4-BE49-F238E27FC236}">
              <a16:creationId xmlns:a16="http://schemas.microsoft.com/office/drawing/2014/main" id="{EADB8351-72E2-45AF-975F-67B9975EE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581024</xdr:colOff>
      <xdr:row>10</xdr:row>
      <xdr:rowOff>1</xdr:rowOff>
    </xdr:from>
    <xdr:to>
      <xdr:col>20</xdr:col>
      <xdr:colOff>9525</xdr:colOff>
      <xdr:row>26</xdr:row>
      <xdr:rowOff>28575</xdr:rowOff>
    </xdr:to>
    <xdr:graphicFrame macro="">
      <xdr:nvGraphicFramePr>
        <xdr:cNvPr id="2" name="Chart 1">
          <a:extLst>
            <a:ext uri="{FF2B5EF4-FFF2-40B4-BE49-F238E27FC236}">
              <a16:creationId xmlns:a16="http://schemas.microsoft.com/office/drawing/2014/main" id="{261CB3CE-791E-F759-793F-2F609DFFC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600075</xdr:colOff>
      <xdr:row>2</xdr:row>
      <xdr:rowOff>9525</xdr:rowOff>
    </xdr:from>
    <xdr:to>
      <xdr:col>19</xdr:col>
      <xdr:colOff>600075</xdr:colOff>
      <xdr:row>9</xdr:row>
      <xdr:rowOff>47625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28002094-842D-26EB-2110-7DA59A0357D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303544" y="390525"/>
              <a:ext cx="7286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twoCellAnchor editAs="oneCell">
    <xdr:from>
      <xdr:col>20</xdr:col>
      <xdr:colOff>326230</xdr:colOff>
      <xdr:row>6</xdr:row>
      <xdr:rowOff>16670</xdr:rowOff>
    </xdr:from>
    <xdr:to>
      <xdr:col>24</xdr:col>
      <xdr:colOff>35718</xdr:colOff>
      <xdr:row>10</xdr:row>
      <xdr:rowOff>178594</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BC938DB-9F97-F7DC-2B13-627439B3D21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6923543" y="1159670"/>
              <a:ext cx="2138363" cy="92392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254794</xdr:colOff>
      <xdr:row>2</xdr:row>
      <xdr:rowOff>23813</xdr:rowOff>
    </xdr:from>
    <xdr:to>
      <xdr:col>26</xdr:col>
      <xdr:colOff>583405</xdr:colOff>
      <xdr:row>5</xdr:row>
      <xdr:rowOff>107156</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90009FB5-33F8-6C1A-5A93-B528C4C672D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6852107" y="404813"/>
              <a:ext cx="3971923" cy="65484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100012</xdr:colOff>
      <xdr:row>6</xdr:row>
      <xdr:rowOff>14288</xdr:rowOff>
    </xdr:from>
    <xdr:to>
      <xdr:col>27</xdr:col>
      <xdr:colOff>0</xdr:colOff>
      <xdr:row>10</xdr:row>
      <xdr:rowOff>178594</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DDD1027A-78A0-21E1-3763-724A0F610E8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9126200" y="1157288"/>
              <a:ext cx="1721644" cy="92630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29764</xdr:colOff>
      <xdr:row>4</xdr:row>
      <xdr:rowOff>21431</xdr:rowOff>
    </xdr:from>
    <xdr:to>
      <xdr:col>10</xdr:col>
      <xdr:colOff>71437</xdr:colOff>
      <xdr:row>23</xdr:row>
      <xdr:rowOff>0</xdr:rowOff>
    </xdr:to>
    <xdr:graphicFrame macro="">
      <xdr:nvGraphicFramePr>
        <xdr:cNvPr id="2" name="Chart 1">
          <a:extLst>
            <a:ext uri="{FF2B5EF4-FFF2-40B4-BE49-F238E27FC236}">
              <a16:creationId xmlns:a16="http://schemas.microsoft.com/office/drawing/2014/main" id="{7F4528BA-E8DE-4650-8DB6-8AAA1024D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29764</xdr:colOff>
      <xdr:row>4</xdr:row>
      <xdr:rowOff>21431</xdr:rowOff>
    </xdr:from>
    <xdr:to>
      <xdr:col>10</xdr:col>
      <xdr:colOff>71437</xdr:colOff>
      <xdr:row>23</xdr:row>
      <xdr:rowOff>0</xdr:rowOff>
    </xdr:to>
    <xdr:graphicFrame macro="">
      <xdr:nvGraphicFramePr>
        <xdr:cNvPr id="7" name="Chart 6">
          <a:extLst>
            <a:ext uri="{FF2B5EF4-FFF2-40B4-BE49-F238E27FC236}">
              <a16:creationId xmlns:a16="http://schemas.microsoft.com/office/drawing/2014/main" id="{6AA1C67E-3927-0555-57A1-8C39D2019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a Ridzo" refreshedDate="46301.43129537037" createdVersion="8" refreshedVersion="8" minRefreshableVersion="3" recordCount="1000" xr:uid="{56802368-401F-4A94-91AF-17CAE4E316E7}">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280196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73113-50B9-4DF5-BCEE-E7441416056D}" name="TotalSales"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A3:G29" firstHeaderRow="1" firstDataRow="2" firstDataCol="2"/>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outline="0" showAll="0"/>
    <pivotField dataField="1" compact="0"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h="1"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25">
    <i>
      <x v="2"/>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t="default">
      <x v="4"/>
    </i>
    <i t="grand">
      <x/>
    </i>
  </rowItems>
  <colFields count="1">
    <field x="13"/>
  </colFields>
  <colItems count="5">
    <i>
      <x/>
    </i>
    <i>
      <x v="1"/>
    </i>
    <i>
      <x v="2"/>
    </i>
    <i>
      <x v="3"/>
    </i>
    <i t="grand">
      <x/>
    </i>
  </colItems>
  <dataFields count="1">
    <dataField name="Sum of Sales" fld="12" baseField="0" baseItem="0" numFmtId="3"/>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2"/>
          </reference>
        </references>
      </pivotArea>
    </chartFormat>
    <chartFormat chart="2" format="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8" name="Order Date">
      <autoFilter ref="A1">
        <filterColumn colId="0">
          <customFilters and="1">
            <customFilter operator="greaterThanOrEqual" val="44013"/>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B62C2-3BFD-4035-A7AE-3D1C671800B5}" name="TotalSales"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A3:B9"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5">
        <item x="1"/>
        <item x="2"/>
        <item x="0"/>
        <item m="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outline="0" showAll="0"/>
    <pivotField dataField="1" compact="0" outline="0" showAll="0"/>
    <pivotField compact="0" outline="0" showAll="0"/>
    <pivotField compact="0" outline="0" showAll="0">
      <items count="4">
        <item x="2"/>
        <item x="1"/>
        <item x="0"/>
        <item t="default"/>
      </items>
    </pivotField>
    <pivotField compact="0" outline="0" showAll="0">
      <items count="3">
        <item x="1"/>
        <item h="1"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88"/>
    </i>
    <i>
      <x v="696"/>
    </i>
    <i>
      <x v="20"/>
    </i>
    <i>
      <x v="237"/>
    </i>
    <i>
      <x v="646"/>
    </i>
    <i t="grand">
      <x/>
    </i>
  </rowItems>
  <colItems count="1">
    <i/>
  </colItems>
  <dataFields count="1">
    <dataField name="Sum of Sales" fld="12" baseField="0" baseItem="0" numFmtId="170"/>
  </dataFields>
  <chartFormats count="2">
    <chartFormat chart="17"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6" name="Order Date">
      <autoFilter ref="A1">
        <filterColumn colId="0">
          <customFilters and="1">
            <customFilter operator="greaterThanOrEqual" val="44013"/>
            <customFilter operator="lessThanOrEqual" val="44651"/>
          </customFilters>
        </filterColumn>
      </autoFilter>
      <extLst>
        <ext xmlns:x15="http://schemas.microsoft.com/office/spreadsheetml/2010/11/main" uri="{0605FD5F-26C8-4aeb-8148-2DB25E43C511}">
          <x15:pivotFilter useWholeDay="1"/>
        </ext>
      </extLst>
    </filter>
    <filter fld="5" type="count" evalOrder="-1" id="2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1AC897-5DF2-4026-A945-EFAA4FABD625}" name="TotalSales" cacheId="2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9">
  <location ref="A3:B7"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5">
        <item x="1"/>
        <item x="2"/>
        <item x="0"/>
        <item m="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outline="0" showAll="0"/>
    <pivotField dataField="1" compact="0" outline="0" showAll="0"/>
    <pivotField compact="0" outline="0" showAll="0"/>
    <pivotField compact="0" outline="0" showAll="0">
      <items count="4">
        <item x="2"/>
        <item x="1"/>
        <item x="0"/>
        <item t="default"/>
      </items>
    </pivotField>
    <pivotField compact="0" outline="0" showAll="0">
      <items count="3">
        <item x="1"/>
        <item h="1"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70"/>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2"/>
          </reference>
        </references>
      </pivotArea>
    </chartFormat>
    <chartFormat chart="17" format="2">
      <pivotArea type="data" outline="0" fieldPosition="0">
        <references count="2">
          <reference field="4294967294" count="1" selected="0">
            <x v="0"/>
          </reference>
          <reference field="7" count="1" selected="0">
            <x v="0"/>
          </reference>
        </references>
      </pivotArea>
    </chartFormat>
    <chartFormat chart="17" format="3">
      <pivotArea type="data" outline="0" fieldPosition="0">
        <references count="2">
          <reference field="4294967294" count="1" selected="0">
            <x v="0"/>
          </reference>
          <reference field="7"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7" count="1" selected="0">
            <x v="1"/>
          </reference>
        </references>
      </pivotArea>
    </chartFormat>
    <chartFormat chart="27" format="10">
      <pivotArea type="data" outline="0" fieldPosition="0">
        <references count="2">
          <reference field="4294967294" count="1" selected="0">
            <x v="0"/>
          </reference>
          <reference field="7" count="1" selected="0">
            <x v="0"/>
          </reference>
        </references>
      </pivotArea>
    </chartFormat>
    <chartFormat chart="2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55" name="Order Date">
      <autoFilter ref="A1">
        <filterColumn colId="0">
          <customFilters and="1">
            <customFilter operator="greaterThanOrEqual" val="44013"/>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4E14DAF-A45C-4E49-96DE-7512917E205F}" sourceName="Size">
  <pivotTables>
    <pivotTable tabId="18" name="TotalSales"/>
    <pivotTable tabId="20" name="TotalSales"/>
    <pivotTable tabId="24" name="TotalSales"/>
  </pivotTables>
  <data>
    <tabular pivotCacheId="28019624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AB2B24D-580A-4208-A854-6777C8060F15}" sourceName="Roast Type Name">
  <pivotTables>
    <pivotTable tabId="18" name="TotalSales"/>
    <pivotTable tabId="20" name="TotalSales"/>
    <pivotTable tabId="24" name="TotalSales"/>
  </pivotTables>
  <data>
    <tabular pivotCacheId="28019624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F04EE68-8440-4CCE-9F85-9C63C37C3B55}" sourceName="Loyalty Card">
  <pivotTables>
    <pivotTable tabId="18" name="TotalSales"/>
    <pivotTable tabId="20" name="TotalSales"/>
    <pivotTable tabId="24" name="TotalSales"/>
  </pivotTables>
  <data>
    <tabular pivotCacheId="28019624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1F495F0-E81C-4B3D-9D3E-558AB9601313}" cache="Slicer_Size" caption="Size" columnCount="2" style="Slicer Style 1" rowHeight="241300"/>
  <slicer name="Roast Type Name 1" xr10:uid="{82F36832-F920-43BB-AC50-C84FFE80A101}" cache="Slicer_Roast_Type_Name" caption="Roast Type Name" columnCount="3" style="Slicer Style 1" rowHeight="241300"/>
  <slicer name="Loyalty Card 1" xr10:uid="{A5E57F6D-1F54-4343-9C5A-BB861F86E4FD}" cache="Slicer_Loyalty_Card" caption="Loyalty Car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04B5C4B-880C-49CC-B2CC-E0ADBB1F26E8}" cache="Slicer_Size" caption="Size" columnCount="2" style="Slicer Style 1" rowHeight="241300"/>
  <slicer name="Roast Type Name" xr10:uid="{64127CE6-E12D-4331-BDFF-D822993616AB}" cache="Slicer_Roast_Type_Name" caption="Roast Type Name" columnCount="3" style="Slicer Style 1" rowHeight="241300"/>
  <slicer name="Loyalty Card" xr10:uid="{4AB4D818-4192-4B90-844D-B7FAB6CA0F44}"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DC8C17-804F-4F47-AED6-DA0CBF4D4078}" name="Orders" displayName="Orders" ref="A1:P1001" totalsRowShown="0" headerRowDxfId="7">
  <autoFilter ref="A1:P1001" xr:uid="{79DC8C17-804F-4F47-AED6-DA0CBF4D4078}"/>
  <tableColumns count="16">
    <tableColumn id="1" xr3:uid="{2823F3FF-6A65-43A5-9455-0EE8F7CB5B8C}" name="Order ID" dataDxfId="13"/>
    <tableColumn id="2" xr3:uid="{61799427-C817-4B98-8B9D-24FFED7E7258}" name="Order Date" dataDxfId="12"/>
    <tableColumn id="3" xr3:uid="{1A9EC428-5ED1-455C-A40A-EF2FAF8B7493}" name="Customer ID" dataDxfId="11"/>
    <tableColumn id="4" xr3:uid="{E95C65DF-E947-44AE-AB4E-19535DCD75A6}" name="Product ID"/>
    <tableColumn id="5" xr3:uid="{C6BE8310-24E0-4A5F-997E-78CB18A86641}" name="Quantity" dataDxfId="10"/>
    <tableColumn id="6" xr3:uid="{ECE14F99-359B-422D-B1F2-EF041AA33279}" name="Customer Name" dataDxfId="9">
      <calculatedColumnFormula array="1">_xlfn.XLOOKUP(C2,customers!$A$1:$A1001,customers!$B$1:$B1001,,0)</calculatedColumnFormula>
    </tableColumn>
    <tableColumn id="7" xr3:uid="{D65577BC-6A57-439C-85A6-9F5D6AF55A9B}" name="Email" dataDxfId="1">
      <calculatedColumnFormula>IF(_xlfn.XLOOKUP(C2, customers!$A:$A, customers!$C:$C,,0)=0, "", _xlfn.XLOOKUP(C2, customers!$A:$A, customers!$C:$C,,0))</calculatedColumnFormula>
    </tableColumn>
    <tableColumn id="8" xr3:uid="{577A9D52-AFDF-4578-B9F5-79FA775D9A18}" name="Country" dataDxfId="0">
      <calculatedColumnFormula>_xlfn.XLOOKUP(C2, customers!$A:$A, customers!$G:$G,,0)</calculatedColumnFormula>
    </tableColumn>
    <tableColumn id="9" xr3:uid="{CE9FEF02-AB96-4DA3-8A50-EE77E25ACC66}" name="Coffee Type">
      <calculatedColumnFormula>INDEX(products!$A$1:$G$49,MATCH(orders!$D2,products!$A$1:$A$49,0),MATCH(orders!I$1,products!$A$1:$G$1,0))</calculatedColumnFormula>
    </tableColumn>
    <tableColumn id="10" xr3:uid="{8F15B648-8D6E-42E6-BCFE-15933E6F88FB}" name="Roast Type">
      <calculatedColumnFormula>INDEX(products!$A$1:$G$49,MATCH(orders!$D2,products!$A$1:$A$49,0),MATCH(orders!J$1,products!$A$1:$G$1,0))</calculatedColumnFormula>
    </tableColumn>
    <tableColumn id="11" xr3:uid="{72BBA850-4672-4B97-BFC2-E6BF33AD793D}" name="Size" dataDxfId="8">
      <calculatedColumnFormula>INDEX(products!$A$1:$G$49,MATCH(orders!$D2,products!$A$1:$A$49,0),MATCH(orders!K$1,products!$A$1:$G$1,0))</calculatedColumnFormula>
    </tableColumn>
    <tableColumn id="12" xr3:uid="{F7594B0E-52D2-475A-A210-2D974A8C0887}" name="Unit Price">
      <calculatedColumnFormula>INDEX(products!$A$1:$G$49,MATCH(orders!$D2,products!$A$1:$A$49,0),MATCH(orders!L$1,products!$A$1:$G$1,0))</calculatedColumnFormula>
    </tableColumn>
    <tableColumn id="13" xr3:uid="{433C3480-C4C5-4372-B241-8613D7ADCCF2}" name="Sales">
      <calculatedColumnFormula>L2*E2</calculatedColumnFormula>
    </tableColumn>
    <tableColumn id="14" xr3:uid="{1B15680F-7C02-406B-89C5-540A126F960D}" name="Coffee Type Name">
      <calculatedColumnFormula>IF(I2="Rob", "Robusta", IF(I2="Exc","Excelsa",IF(I2="Ara","Arabica", IF(I2="Lib","Liberica",""))))</calculatedColumnFormula>
    </tableColumn>
    <tableColumn id="15" xr3:uid="{E585D123-6C55-4A71-BE84-F354717D96F5}" name="Roast Type Name">
      <calculatedColumnFormula>IF(J2="M","Medium",IF(J2="L","Light",IF(J2="D","Dark","")))</calculatedColumnFormula>
    </tableColumn>
    <tableColumn id="16" xr3:uid="{22302436-2F4A-4801-8CDE-528D6B543821}" name="Loyalty Card" dataDxfId="4">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505DE74-5A5C-4E1F-B589-69274B0D768D}" sourceName="Order Date">
  <pivotTables>
    <pivotTable tabId="18" name="TotalSales"/>
    <pivotTable tabId="20" name="TotalSales"/>
    <pivotTable tabId="24" name="TotalSales"/>
  </pivotTables>
  <state minimalRefreshVersion="6" lastRefreshVersion="6" pivotCacheId="280196249" filterType="dateBetween">
    <selection startDate="2020-07-01T00:00:00" endDate="2022-03-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B3DA35D-24ED-4836-B152-25D7DE740D5A}" cache="NativeTimeline_Order_Date" caption="Order Date" level="2" selectionLevel="1" scrollPosition="2020-07-08T00:00:00" style="Hijau"/>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2DF20EA-6898-47E4-AC38-F65572491D2D}" cache="NativeTimeline_Order_Date" caption="Order Date" level="2" selectionLevel="1" scrollPosition="2020-07-08T00:00:00" style="Hijau"/>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8F46-8BD1-4269-9440-F0FE4A0FDB31}">
  <dimension ref="A1"/>
  <sheetViews>
    <sheetView showGridLines="0" showRowColHeaders="0" tabSelected="1" zoomScale="86" workbookViewId="0">
      <selection activeCell="O42" sqref="O42"/>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9080-CB59-4213-8A16-604AA3BFE300}">
  <dimension ref="A3:G29"/>
  <sheetViews>
    <sheetView topLeftCell="J1" zoomScale="80" workbookViewId="0">
      <selection activeCell="C29" sqref="C29"/>
    </sheetView>
  </sheetViews>
  <sheetFormatPr defaultRowHeight="15" x14ac:dyDescent="0.25"/>
  <cols>
    <col min="1" max="1" width="13.140625" bestFit="1" customWidth="1"/>
    <col min="2" max="2" width="22.85546875" bestFit="1" customWidth="1"/>
    <col min="3" max="6" width="20.7109375" bestFit="1" customWidth="1"/>
    <col min="7" max="7" width="11.5703125" bestFit="1" customWidth="1"/>
  </cols>
  <sheetData>
    <row r="3" spans="1:7" x14ac:dyDescent="0.25">
      <c r="A3" s="5" t="s">
        <v>6223</v>
      </c>
      <c r="C3" s="5" t="s">
        <v>6196</v>
      </c>
    </row>
    <row r="4" spans="1:7" x14ac:dyDescent="0.25">
      <c r="A4" s="5" t="s">
        <v>6214</v>
      </c>
      <c r="B4" s="5" t="s">
        <v>6215</v>
      </c>
      <c r="C4" t="s">
        <v>6219</v>
      </c>
      <c r="D4" t="s">
        <v>6220</v>
      </c>
      <c r="E4" t="s">
        <v>6221</v>
      </c>
      <c r="F4" t="s">
        <v>6222</v>
      </c>
      <c r="G4" t="s">
        <v>6198</v>
      </c>
    </row>
    <row r="5" spans="1:7" x14ac:dyDescent="0.25">
      <c r="A5" t="s">
        <v>6199</v>
      </c>
      <c r="B5" t="s">
        <v>6208</v>
      </c>
      <c r="C5" s="6">
        <v>79.47</v>
      </c>
      <c r="D5" s="6">
        <v>110</v>
      </c>
      <c r="E5" s="6">
        <v>175.20499999999998</v>
      </c>
      <c r="F5" s="6">
        <v>266.91000000000003</v>
      </c>
      <c r="G5" s="6">
        <v>631.58500000000004</v>
      </c>
    </row>
    <row r="6" spans="1:7" x14ac:dyDescent="0.25">
      <c r="B6" t="s">
        <v>6209</v>
      </c>
      <c r="C6" s="6">
        <v>22.5</v>
      </c>
      <c r="D6" s="6">
        <v>77.72</v>
      </c>
      <c r="E6" s="6">
        <v>28.53</v>
      </c>
      <c r="F6" s="6">
        <v>127.73999999999998</v>
      </c>
      <c r="G6" s="6">
        <v>256.49</v>
      </c>
    </row>
    <row r="7" spans="1:7" x14ac:dyDescent="0.25">
      <c r="B7" t="s">
        <v>6210</v>
      </c>
      <c r="C7" s="6">
        <v>101.49</v>
      </c>
      <c r="D7" s="6">
        <v>195.11</v>
      </c>
      <c r="E7" s="6">
        <v>64.08</v>
      </c>
      <c r="F7" s="6">
        <v>296.69</v>
      </c>
      <c r="G7" s="6">
        <v>657.37</v>
      </c>
    </row>
    <row r="8" spans="1:7" x14ac:dyDescent="0.25">
      <c r="B8" t="s">
        <v>6211</v>
      </c>
      <c r="C8" s="6">
        <v>97.874999999999986</v>
      </c>
      <c r="D8" s="6">
        <v>156.655</v>
      </c>
      <c r="E8" s="6">
        <v>135.22499999999999</v>
      </c>
      <c r="F8" s="6">
        <v>43.019999999999996</v>
      </c>
      <c r="G8" s="6">
        <v>432.77499999999998</v>
      </c>
    </row>
    <row r="9" spans="1:7" x14ac:dyDescent="0.25">
      <c r="B9" t="s">
        <v>6212</v>
      </c>
      <c r="C9" s="6">
        <v>165.23499999999999</v>
      </c>
      <c r="D9" s="6"/>
      <c r="E9" s="6">
        <v>119.13999999999999</v>
      </c>
      <c r="F9" s="6">
        <v>26.849999999999994</v>
      </c>
      <c r="G9" s="6">
        <v>311.22500000000002</v>
      </c>
    </row>
    <row r="10" spans="1:7" x14ac:dyDescent="0.25">
      <c r="B10" t="s">
        <v>6213</v>
      </c>
      <c r="C10" s="6">
        <v>23.88</v>
      </c>
      <c r="D10" s="6">
        <v>354.67499999999995</v>
      </c>
      <c r="E10" s="6">
        <v>70.86</v>
      </c>
      <c r="F10" s="6">
        <v>17.91</v>
      </c>
      <c r="G10" s="6">
        <v>467.32499999999999</v>
      </c>
    </row>
    <row r="11" spans="1:7" x14ac:dyDescent="0.25">
      <c r="A11" t="s">
        <v>6216</v>
      </c>
      <c r="C11" s="6">
        <v>490.44999999999993</v>
      </c>
      <c r="D11" s="6">
        <v>894.16</v>
      </c>
      <c r="E11" s="6">
        <v>593.04</v>
      </c>
      <c r="F11" s="6">
        <v>779.11999999999989</v>
      </c>
      <c r="G11" s="6">
        <v>2756.77</v>
      </c>
    </row>
    <row r="12" spans="1:7" x14ac:dyDescent="0.25">
      <c r="A12" t="s">
        <v>6200</v>
      </c>
      <c r="B12" t="s">
        <v>6202</v>
      </c>
      <c r="C12" s="6">
        <v>106.47</v>
      </c>
      <c r="D12" s="6">
        <v>12.15</v>
      </c>
      <c r="E12" s="6">
        <v>200.89000000000001</v>
      </c>
      <c r="F12" s="6">
        <v>35.82</v>
      </c>
      <c r="G12" s="6">
        <v>355.33</v>
      </c>
    </row>
    <row r="13" spans="1:7" x14ac:dyDescent="0.25">
      <c r="B13" t="s">
        <v>6203</v>
      </c>
      <c r="C13" s="6">
        <v>169.99999999999997</v>
      </c>
      <c r="D13" s="6">
        <v>48.6</v>
      </c>
      <c r="E13" s="6">
        <v>244.06</v>
      </c>
      <c r="F13" s="6">
        <v>16.11</v>
      </c>
      <c r="G13" s="6">
        <v>478.77</v>
      </c>
    </row>
    <row r="14" spans="1:7" x14ac:dyDescent="0.25">
      <c r="B14" t="s">
        <v>6204</v>
      </c>
      <c r="C14" s="6">
        <v>192.40499999999997</v>
      </c>
      <c r="D14" s="6">
        <v>307.38499999999999</v>
      </c>
      <c r="E14" s="6">
        <v>278.14499999999998</v>
      </c>
      <c r="F14" s="6">
        <v>163.61999999999998</v>
      </c>
      <c r="G14" s="6">
        <v>941.55499999999995</v>
      </c>
    </row>
    <row r="15" spans="1:7" x14ac:dyDescent="0.25">
      <c r="B15" t="s">
        <v>6205</v>
      </c>
      <c r="C15" s="6">
        <v>62.91</v>
      </c>
      <c r="D15" s="6">
        <v>8.91</v>
      </c>
      <c r="E15" s="6">
        <v>328.95</v>
      </c>
      <c r="F15" s="6">
        <v>23.9</v>
      </c>
      <c r="G15" s="6">
        <v>424.66999999999996</v>
      </c>
    </row>
    <row r="16" spans="1:7" x14ac:dyDescent="0.25">
      <c r="B16" t="s">
        <v>6206</v>
      </c>
      <c r="C16" s="6">
        <v>143.22</v>
      </c>
      <c r="D16" s="6">
        <v>94.710000000000008</v>
      </c>
      <c r="E16" s="6">
        <v>263.315</v>
      </c>
      <c r="F16" s="6">
        <v>184.61999999999998</v>
      </c>
      <c r="G16" s="6">
        <v>685.86500000000001</v>
      </c>
    </row>
    <row r="17" spans="1:7" x14ac:dyDescent="0.25">
      <c r="B17" t="s">
        <v>6207</v>
      </c>
      <c r="C17" s="6">
        <v>279.70499999999998</v>
      </c>
      <c r="D17" s="6">
        <v>12.375</v>
      </c>
      <c r="E17" s="6">
        <v>187.77499999999998</v>
      </c>
      <c r="F17" s="6">
        <v>88.334999999999994</v>
      </c>
      <c r="G17" s="6">
        <v>568.18999999999994</v>
      </c>
    </row>
    <row r="18" spans="1:7" x14ac:dyDescent="0.25">
      <c r="B18" t="s">
        <v>6208</v>
      </c>
      <c r="C18" s="6">
        <v>109.005</v>
      </c>
      <c r="D18" s="6">
        <v>124.7</v>
      </c>
      <c r="E18" s="6">
        <v>52.305</v>
      </c>
      <c r="F18" s="6">
        <v>145.78999999999996</v>
      </c>
      <c r="G18" s="6">
        <v>431.79999999999995</v>
      </c>
    </row>
    <row r="19" spans="1:7" x14ac:dyDescent="0.25">
      <c r="B19" t="s">
        <v>6209</v>
      </c>
      <c r="C19" s="6">
        <v>119.41999999999999</v>
      </c>
      <c r="D19" s="6">
        <v>81.41</v>
      </c>
      <c r="E19" s="6">
        <v>125.58</v>
      </c>
      <c r="F19" s="6">
        <v>198.58499999999998</v>
      </c>
      <c r="G19" s="6">
        <v>524.99499999999989</v>
      </c>
    </row>
    <row r="20" spans="1:7" x14ac:dyDescent="0.25">
      <c r="B20" t="s">
        <v>6210</v>
      </c>
      <c r="C20" s="6">
        <v>667.51499999999999</v>
      </c>
      <c r="D20" s="6">
        <v>171.6</v>
      </c>
      <c r="E20" s="6">
        <v>124.71000000000001</v>
      </c>
      <c r="F20" s="6">
        <v>185.58999999999997</v>
      </c>
      <c r="G20" s="6">
        <v>1149.415</v>
      </c>
    </row>
    <row r="21" spans="1:7" x14ac:dyDescent="0.25">
      <c r="B21" t="s">
        <v>6211</v>
      </c>
      <c r="C21" s="6">
        <v>242.99999999999997</v>
      </c>
      <c r="D21" s="6">
        <v>260.32499999999999</v>
      </c>
      <c r="E21" s="6">
        <v>285.57000000000005</v>
      </c>
      <c r="F21" s="6">
        <v>115.27999999999999</v>
      </c>
      <c r="G21" s="6">
        <v>904.17499999999995</v>
      </c>
    </row>
    <row r="22" spans="1:7" x14ac:dyDescent="0.25">
      <c r="B22" t="s">
        <v>6212</v>
      </c>
      <c r="C22" s="6">
        <v>63.314999999999998</v>
      </c>
      <c r="D22" s="6">
        <v>459.54999999999995</v>
      </c>
      <c r="E22" s="6">
        <v>275.08999999999997</v>
      </c>
      <c r="F22" s="6"/>
      <c r="G22" s="6">
        <v>797.95499999999993</v>
      </c>
    </row>
    <row r="23" spans="1:7" x14ac:dyDescent="0.25">
      <c r="B23" t="s">
        <v>6213</v>
      </c>
      <c r="C23" s="6">
        <v>201.86999999999998</v>
      </c>
      <c r="D23" s="6">
        <v>129.97499999999999</v>
      </c>
      <c r="E23" s="6">
        <v>146.37</v>
      </c>
      <c r="F23" s="6">
        <v>185.22499999999997</v>
      </c>
      <c r="G23" s="6">
        <v>663.43999999999994</v>
      </c>
    </row>
    <row r="24" spans="1:7" x14ac:dyDescent="0.25">
      <c r="A24" t="s">
        <v>6217</v>
      </c>
      <c r="C24" s="6">
        <v>2358.835</v>
      </c>
      <c r="D24" s="6">
        <v>1711.6899999999998</v>
      </c>
      <c r="E24" s="6">
        <v>2512.7600000000002</v>
      </c>
      <c r="F24" s="6">
        <v>1342.8749999999998</v>
      </c>
      <c r="G24" s="6">
        <v>7926.1599999999989</v>
      </c>
    </row>
    <row r="25" spans="1:7" x14ac:dyDescent="0.25">
      <c r="A25" t="s">
        <v>6201</v>
      </c>
      <c r="B25" t="s">
        <v>6202</v>
      </c>
      <c r="C25" s="6">
        <v>30.06</v>
      </c>
      <c r="D25" s="6">
        <v>72.36</v>
      </c>
      <c r="E25" s="6">
        <v>463.28</v>
      </c>
      <c r="F25" s="6">
        <v>68.650000000000006</v>
      </c>
      <c r="G25" s="6">
        <v>634.34999999999991</v>
      </c>
    </row>
    <row r="26" spans="1:7" x14ac:dyDescent="0.25">
      <c r="B26" t="s">
        <v>6203</v>
      </c>
      <c r="C26" s="6">
        <v>49.209999999999994</v>
      </c>
      <c r="D26" s="6">
        <v>129.69</v>
      </c>
      <c r="E26" s="6">
        <v>67.400000000000006</v>
      </c>
      <c r="F26" s="6">
        <v>53.759999999999991</v>
      </c>
      <c r="G26" s="6">
        <v>300.05999999999995</v>
      </c>
    </row>
    <row r="27" spans="1:7" x14ac:dyDescent="0.25">
      <c r="B27" t="s">
        <v>6204</v>
      </c>
      <c r="C27" s="6">
        <v>45</v>
      </c>
      <c r="D27" s="6">
        <v>147.01499999999999</v>
      </c>
      <c r="E27" s="6">
        <v>4.3650000000000002</v>
      </c>
      <c r="F27" s="6">
        <v>159.17499999999998</v>
      </c>
      <c r="G27" s="6">
        <v>355.55499999999995</v>
      </c>
    </row>
    <row r="28" spans="1:7" x14ac:dyDescent="0.25">
      <c r="A28" t="s">
        <v>6218</v>
      </c>
      <c r="C28" s="6">
        <v>124.27</v>
      </c>
      <c r="D28" s="6">
        <v>349.065</v>
      </c>
      <c r="E28" s="6">
        <v>535.04499999999996</v>
      </c>
      <c r="F28" s="6">
        <v>281.58499999999998</v>
      </c>
      <c r="G28" s="6">
        <v>1289.9649999999997</v>
      </c>
    </row>
    <row r="29" spans="1:7" x14ac:dyDescent="0.25">
      <c r="A29" t="s">
        <v>6198</v>
      </c>
      <c r="C29" s="6">
        <v>2973.5549999999998</v>
      </c>
      <c r="D29" s="6">
        <v>2954.915</v>
      </c>
      <c r="E29" s="6">
        <v>3640.8449999999998</v>
      </c>
      <c r="F29" s="6">
        <v>2403.58</v>
      </c>
      <c r="G29" s="6">
        <v>11972.895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7C7B-F408-478C-9488-1BD1B5FF5CCC}">
  <dimension ref="A3:B9"/>
  <sheetViews>
    <sheetView zoomScale="80" workbookViewId="0">
      <selection activeCell="M8" sqref="M8"/>
    </sheetView>
  </sheetViews>
  <sheetFormatPr defaultRowHeight="15" x14ac:dyDescent="0.25"/>
  <cols>
    <col min="1" max="1" width="18.5703125" bestFit="1" customWidth="1"/>
    <col min="2" max="2" width="12.7109375" bestFit="1" customWidth="1"/>
    <col min="3" max="6" width="20.7109375" bestFit="1" customWidth="1"/>
    <col min="7" max="7" width="11.5703125" bestFit="1" customWidth="1"/>
  </cols>
  <sheetData>
    <row r="3" spans="1:2" x14ac:dyDescent="0.25">
      <c r="A3" s="5" t="s">
        <v>4</v>
      </c>
      <c r="B3" t="s">
        <v>6223</v>
      </c>
    </row>
    <row r="4" spans="1:2" x14ac:dyDescent="0.25">
      <c r="A4" t="s">
        <v>3697</v>
      </c>
      <c r="B4" s="7">
        <v>164.90999999999997</v>
      </c>
    </row>
    <row r="5" spans="1:2" x14ac:dyDescent="0.25">
      <c r="A5" t="s">
        <v>746</v>
      </c>
      <c r="B5" s="7">
        <v>178.70999999999998</v>
      </c>
    </row>
    <row r="6" spans="1:2" x14ac:dyDescent="0.25">
      <c r="A6" t="s">
        <v>1386</v>
      </c>
      <c r="B6" s="7">
        <v>218.73</v>
      </c>
    </row>
    <row r="7" spans="1:2" x14ac:dyDescent="0.25">
      <c r="A7" t="s">
        <v>5555</v>
      </c>
      <c r="B7" s="7">
        <v>230.87499999999997</v>
      </c>
    </row>
    <row r="8" spans="1:2" x14ac:dyDescent="0.25">
      <c r="A8" t="s">
        <v>1598</v>
      </c>
      <c r="B8" s="7">
        <v>281.67499999999995</v>
      </c>
    </row>
    <row r="9" spans="1:2" x14ac:dyDescent="0.25">
      <c r="A9" t="s">
        <v>6198</v>
      </c>
      <c r="B9" s="7">
        <v>1074.8999999999999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2043-43C9-405D-8A3A-102142116EE6}">
  <dimension ref="A3:B7"/>
  <sheetViews>
    <sheetView zoomScale="80" workbookViewId="0">
      <selection activeCell="D31" sqref="D31"/>
    </sheetView>
  </sheetViews>
  <sheetFormatPr defaultRowHeight="15" x14ac:dyDescent="0.25"/>
  <cols>
    <col min="1" max="1" width="17" bestFit="1" customWidth="1"/>
    <col min="2" max="2" width="12.7109375" bestFit="1" customWidth="1"/>
    <col min="3" max="6" width="20.7109375" bestFit="1" customWidth="1"/>
    <col min="7" max="7" width="11.5703125" bestFit="1" customWidth="1"/>
  </cols>
  <sheetData>
    <row r="3" spans="1:2" x14ac:dyDescent="0.25">
      <c r="A3" s="5" t="s">
        <v>7</v>
      </c>
      <c r="B3" t="s">
        <v>6223</v>
      </c>
    </row>
    <row r="4" spans="1:2" x14ac:dyDescent="0.25">
      <c r="A4" t="s">
        <v>28</v>
      </c>
      <c r="B4" s="7">
        <v>737.19999999999993</v>
      </c>
    </row>
    <row r="5" spans="1:2" x14ac:dyDescent="0.25">
      <c r="A5" t="s">
        <v>318</v>
      </c>
      <c r="B5" s="7">
        <v>1908.665</v>
      </c>
    </row>
    <row r="6" spans="1:2" x14ac:dyDescent="0.25">
      <c r="A6" t="s">
        <v>19</v>
      </c>
      <c r="B6" s="7">
        <v>9327.0300000000043</v>
      </c>
    </row>
    <row r="7" spans="1:2" x14ac:dyDescent="0.25">
      <c r="A7" t="s">
        <v>6198</v>
      </c>
      <c r="B7" s="7">
        <v>11972.895000000004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4"/>
  <sheetViews>
    <sheetView zoomScale="78" zoomScaleNormal="115" workbookViewId="0">
      <selection activeCell="J925" sqref="J925"/>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17" customWidth="1"/>
    <col min="7" max="7" width="20.85546875" customWidth="1"/>
    <col min="8" max="8" width="14.7109375" customWidth="1"/>
    <col min="9" max="9" width="13.140625" customWidth="1"/>
    <col min="10" max="10" width="12.42578125" customWidth="1"/>
    <col min="11" max="11" width="6.140625" customWidth="1"/>
    <col min="12" max="12" width="11.28515625" customWidth="1"/>
    <col min="13" max="13" width="7.140625" customWidth="1"/>
    <col min="14" max="14" width="18.85546875" customWidth="1"/>
    <col min="15" max="15" width="20.5703125" customWidth="1"/>
    <col min="16" max="16" width="13"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cm="1">
        <f t="array" ref="F2">_xlfn.XLOOKUP(C2,customers!$A$1:$A1001,customers!$B$1:$B1001,,0)</f>
        <v>Aloisia Allner</v>
      </c>
      <c r="G2" s="2" t="str">
        <f>IF(_xlfn.XLOOKUP(C2, customers!$A:$A, customers!$C:$C,,0)=0, "", _xlfn.XLOOKUP(C2, customers!$A:$A, customers!$C:$C,,0))</f>
        <v>aallner0@lulu.com</v>
      </c>
      <c r="H2" s="2" t="str">
        <f>_xlfn.XLOOKUP(C2, customers!$A:$A, customers!$G:$G,,0)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f>INDEX(products!$A$1:$G$49,MATCH(orders!$D2,products!$A$1:$A$49,0),MATCH(orders!L$1,products!$A$1:$G$1,0))</f>
        <v>9.9499999999999993</v>
      </c>
      <c r="M2">
        <f>L2*E2</f>
        <v>19.899999999999999</v>
      </c>
      <c r="N2" t="str">
        <f>IF(I2="Rob", "Robusta", IF(I2="Exc","Excelsa",IF(I2="Ara","Arabica", 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cm="1">
        <f t="array" ref="F3">_xlfn.XLOOKUP(C3,customers!$A$1:$A1002,customers!$B$1:$B1002,,0)</f>
        <v>Aloisia Allner</v>
      </c>
      <c r="G3" s="2" t="str">
        <f>IF(_xlfn.XLOOKUP(C3, customers!$A:$A, customers!$C:$C,,0)=0, "", _xlfn.XLOOKUP(C3, customers!$A:$A, customers!$C:$C,,0))</f>
        <v>aallner0@lulu.com</v>
      </c>
      <c r="H3" s="2" t="str">
        <f>_xlfn.XLOOKUP(C3, customers!$A:$A, customers!$G:$G,,0)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f>INDEX(products!$A$1:$G$49,MATCH(orders!$D3,products!$A$1:$A$49,0),MATCH(orders!L$1,products!$A$1:$G$1,0))</f>
        <v>8.25</v>
      </c>
      <c r="M3">
        <f t="shared" ref="M3:M66" si="0">L3*E3</f>
        <v>41.25</v>
      </c>
      <c r="N3" t="str">
        <f t="shared" ref="N3:N66" si="1">IF(I3="Rob", "Robusta", IF(I3="Exc","Excelsa",IF(I3="Ara","Arabica", 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cm="1">
        <f t="array" ref="F4">_xlfn.XLOOKUP(C4,customers!$A$1:$A1003,customers!$B$1:$B1003,,0)</f>
        <v>Jami Redholes</v>
      </c>
      <c r="G4" s="2" t="str">
        <f>IF(_xlfn.XLOOKUP(C4, customers!$A:$A, customers!$C:$C,,0)=0, "", _xlfn.XLOOKUP(C4, customers!$A:$A, customers!$C:$C,,0))</f>
        <v>jredholes2@tmall.com</v>
      </c>
      <c r="H4" s="2" t="str">
        <f>_xlfn.XLOOKUP(C4, customers!$A:$A, customers!$G:$G,,0)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f>INDEX(products!$A$1:$G$49,MATCH(orders!$D4,products!$A$1:$A$49,0),MATCH(orders!L$1,products!$A$1:$G$1,0))</f>
        <v>12.95</v>
      </c>
      <c r="M4">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cm="1">
        <f t="array" ref="F5">_xlfn.XLOOKUP(C5,customers!$A$1:$A1004,customers!$B$1:$B1004,,0)</f>
        <v>Christoffer O' Shea</v>
      </c>
      <c r="G5" s="2" t="str">
        <f>IF(_xlfn.XLOOKUP(C5, customers!$A:$A, customers!$C:$C,,0)=0, "", _xlfn.XLOOKUP(C5, customers!$A:$A, customers!$C:$C,,0))</f>
        <v/>
      </c>
      <c r="H5" s="2" t="str">
        <f>_xlfn.XLOOKUP(C5, customers!$A:$A, customers!$G:$G,,0)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f>INDEX(products!$A$1:$G$49,MATCH(orders!$D5,products!$A$1:$A$49,0),MATCH(orders!L$1,products!$A$1:$G$1,0))</f>
        <v>13.75</v>
      </c>
      <c r="M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cm="1">
        <f t="array" ref="F6">_xlfn.XLOOKUP(C6,customers!$A$1:$A1005,customers!$B$1:$B1005,,0)</f>
        <v>Christoffer O' Shea</v>
      </c>
      <c r="G6" s="2" t="str">
        <f>IF(_xlfn.XLOOKUP(C6, customers!$A:$A, customers!$C:$C,,0)=0, "", _xlfn.XLOOKUP(C6, customers!$A:$A, customers!$C:$C,,0))</f>
        <v/>
      </c>
      <c r="H6" s="2" t="str">
        <f>_xlfn.XLOOKUP(C6, customers!$A:$A, customers!$G:$G,,0)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f>INDEX(products!$A$1:$G$49,MATCH(orders!$D6,products!$A$1:$A$49,0),MATCH(orders!L$1,products!$A$1:$G$1,0))</f>
        <v>27.484999999999996</v>
      </c>
      <c r="M6">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cm="1">
        <f t="array" ref="F7">_xlfn.XLOOKUP(C7,customers!$A$1:$A1006,customers!$B$1:$B1006,,0)</f>
        <v>Beryle Cottier</v>
      </c>
      <c r="G7" s="2" t="str">
        <f>IF(_xlfn.XLOOKUP(C7, customers!$A:$A, customers!$C:$C,,0)=0, "", _xlfn.XLOOKUP(C7, customers!$A:$A, customers!$C:$C,,0))</f>
        <v/>
      </c>
      <c r="H7" s="2" t="str">
        <f>_xlfn.XLOOKUP(C7, customers!$A:$A, customers!$G:$G,,0)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f>INDEX(products!$A$1:$G$49,MATCH(orders!$D7,products!$A$1:$A$49,0),MATCH(orders!L$1,products!$A$1:$G$1,0))</f>
        <v>12.95</v>
      </c>
      <c r="M7">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cm="1">
        <f t="array" ref="F8">_xlfn.XLOOKUP(C8,customers!$A$1:$A1007,customers!$B$1:$B1007,,0)</f>
        <v>Shaylynn Lobe</v>
      </c>
      <c r="G8" s="2" t="str">
        <f>IF(_xlfn.XLOOKUP(C8, customers!$A:$A, customers!$C:$C,,0)=0, "", _xlfn.XLOOKUP(C8, customers!$A:$A, customers!$C:$C,,0))</f>
        <v>slobe6@nifty.com</v>
      </c>
      <c r="H8" s="2" t="str">
        <f>_xlfn.XLOOKUP(C8, customers!$A:$A, customers!$G:$G,,0)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f>INDEX(products!$A$1:$G$49,MATCH(orders!$D8,products!$A$1:$A$49,0),MATCH(orders!L$1,products!$A$1:$G$1,0))</f>
        <v>7.29</v>
      </c>
      <c r="M8">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cm="1">
        <f t="array" ref="F9">_xlfn.XLOOKUP(C9,customers!$A$1:$A1008,customers!$B$1:$B1008,,0)</f>
        <v>Melvin Wharfe</v>
      </c>
      <c r="G9" s="2" t="str">
        <f>IF(_xlfn.XLOOKUP(C9, customers!$A:$A, customers!$C:$C,,0)=0, "", _xlfn.XLOOKUP(C9, customers!$A:$A, customers!$C:$C,,0))</f>
        <v/>
      </c>
      <c r="H9" s="2" t="str">
        <f>_xlfn.XLOOKUP(C9, customers!$A:$A, customers!$G:$G,,0)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f>INDEX(products!$A$1:$G$49,MATCH(orders!$D9,products!$A$1:$A$49,0),MATCH(orders!L$1,products!$A$1:$G$1,0))</f>
        <v>4.7549999999999999</v>
      </c>
      <c r="M9">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cm="1">
        <f t="array" ref="F10">_xlfn.XLOOKUP(C10,customers!$A$1:$A1009,customers!$B$1:$B1009,,0)</f>
        <v>Guthrey Petracci</v>
      </c>
      <c r="G10" s="2" t="str">
        <f>IF(_xlfn.XLOOKUP(C10, customers!$A:$A, customers!$C:$C,,0)=0, "", _xlfn.XLOOKUP(C10, customers!$A:$A, customers!$C:$C,,0))</f>
        <v>gpetracci8@livejournal.com</v>
      </c>
      <c r="H10" s="2" t="str">
        <f>_xlfn.XLOOKUP(C10, customers!$A:$A, customers!$G:$G,,0)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f>INDEX(products!$A$1:$G$49,MATCH(orders!$D10,products!$A$1:$A$49,0),MATCH(orders!L$1,products!$A$1:$G$1,0))</f>
        <v>5.97</v>
      </c>
      <c r="M10">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cm="1">
        <f t="array" ref="F11">_xlfn.XLOOKUP(C11,customers!$A$1:$A1010,customers!$B$1:$B1010,,0)</f>
        <v>Rodger Raven</v>
      </c>
      <c r="G11" s="2" t="str">
        <f>IF(_xlfn.XLOOKUP(C11, customers!$A:$A, customers!$C:$C,,0)=0, "", _xlfn.XLOOKUP(C11, customers!$A:$A, customers!$C:$C,,0))</f>
        <v>rraven9@ed.gov</v>
      </c>
      <c r="H11" s="2" t="str">
        <f>_xlfn.XLOOKUP(C11, customers!$A:$A, customers!$G:$G,,0)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f>INDEX(products!$A$1:$G$49,MATCH(orders!$D11,products!$A$1:$A$49,0),MATCH(orders!L$1,products!$A$1:$G$1,0))</f>
        <v>5.97</v>
      </c>
      <c r="M11">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cm="1">
        <f t="array" ref="F12">_xlfn.XLOOKUP(C12,customers!$A$1:$A1011,customers!$B$1:$B1011,,0)</f>
        <v>Ferrell Ferber</v>
      </c>
      <c r="G12" s="2" t="str">
        <f>IF(_xlfn.XLOOKUP(C12, customers!$A:$A, customers!$C:$C,,0)=0, "", _xlfn.XLOOKUP(C12, customers!$A:$A, customers!$C:$C,,0))</f>
        <v>fferbera@businesswire.com</v>
      </c>
      <c r="H12" s="2" t="str">
        <f>_xlfn.XLOOKUP(C12, customers!$A:$A, customers!$G:$G,,0)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f>INDEX(products!$A$1:$G$49,MATCH(orders!$D12,products!$A$1:$A$49,0),MATCH(orders!L$1,products!$A$1:$G$1,0))</f>
        <v>9.9499999999999993</v>
      </c>
      <c r="M12">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cm="1">
        <f t="array" ref="F13">_xlfn.XLOOKUP(C13,customers!$A$1:$A1012,customers!$B$1:$B1012,,0)</f>
        <v>Duky Phizackerly</v>
      </c>
      <c r="G13" s="2" t="str">
        <f>IF(_xlfn.XLOOKUP(C13, customers!$A:$A, customers!$C:$C,,0)=0, "", _xlfn.XLOOKUP(C13, customers!$A:$A, customers!$C:$C,,0))</f>
        <v>dphizackerlyb@utexas.edu</v>
      </c>
      <c r="H13" s="2" t="str">
        <f>_xlfn.XLOOKUP(C13, customers!$A:$A, customers!$G:$G,,0)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f>INDEX(products!$A$1:$G$49,MATCH(orders!$D13,products!$A$1:$A$49,0),MATCH(orders!L$1,products!$A$1:$G$1,0))</f>
        <v>34.154999999999994</v>
      </c>
      <c r="M13">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cm="1">
        <f t="array" ref="F14">_xlfn.XLOOKUP(C14,customers!$A$1:$A1013,customers!$B$1:$B1013,,0)</f>
        <v>Rosaleen Scholar</v>
      </c>
      <c r="G14" s="2" t="str">
        <f>IF(_xlfn.XLOOKUP(C14, customers!$A:$A, customers!$C:$C,,0)=0, "", _xlfn.XLOOKUP(C14, customers!$A:$A, customers!$C:$C,,0))</f>
        <v>rscholarc@nyu.edu</v>
      </c>
      <c r="H14" s="2" t="str">
        <f>_xlfn.XLOOKUP(C14, customers!$A:$A, customers!$G:$G,,0)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f>INDEX(products!$A$1:$G$49,MATCH(orders!$D14,products!$A$1:$A$49,0),MATCH(orders!L$1,products!$A$1:$G$1,0))</f>
        <v>9.9499999999999993</v>
      </c>
      <c r="M14">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cm="1">
        <f t="array" ref="F15">_xlfn.XLOOKUP(C15,customers!$A$1:$A1014,customers!$B$1:$B1014,,0)</f>
        <v>Terence Vanyutin</v>
      </c>
      <c r="G15" s="2" t="str">
        <f>IF(_xlfn.XLOOKUP(C15, customers!$A:$A, customers!$C:$C,,0)=0, "", _xlfn.XLOOKUP(C15, customers!$A:$A, customers!$C:$C,,0))</f>
        <v>tvanyutind@wix.com</v>
      </c>
      <c r="H15" s="2" t="str">
        <f>_xlfn.XLOOKUP(C15, customers!$A:$A, customers!$G:$G,,0)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f>INDEX(products!$A$1:$G$49,MATCH(orders!$D15,products!$A$1:$A$49,0),MATCH(orders!L$1,products!$A$1:$G$1,0))</f>
        <v>20.584999999999997</v>
      </c>
      <c r="M1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cm="1">
        <f t="array" ref="F16">_xlfn.XLOOKUP(C16,customers!$A$1:$A1015,customers!$B$1:$B1015,,0)</f>
        <v>Patrice Trobe</v>
      </c>
      <c r="G16" s="2" t="str">
        <f>IF(_xlfn.XLOOKUP(C16, customers!$A:$A, customers!$C:$C,,0)=0, "", _xlfn.XLOOKUP(C16, customers!$A:$A, customers!$C:$C,,0))</f>
        <v>ptrobee@wunderground.com</v>
      </c>
      <c r="H16" s="2" t="str">
        <f>_xlfn.XLOOKUP(C16, customers!$A:$A, customers!$G:$G,,0)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f>INDEX(products!$A$1:$G$49,MATCH(orders!$D16,products!$A$1:$A$49,0),MATCH(orders!L$1,products!$A$1:$G$1,0))</f>
        <v>3.8849999999999998</v>
      </c>
      <c r="M16">
        <f t="shared" si="0"/>
        <v>11.654999999999999</v>
      </c>
      <c r="N16" t="str">
        <f>IF(I16="Rob", "Robusta", IF(I16="Exc","Excelsa",IF(I16="Ara","Arabica", IF(I16="Lib","Liberica",""))))</f>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cm="1">
        <f t="array" ref="F17">_xlfn.XLOOKUP(C17,customers!$A$1:$A1016,customers!$B$1:$B1016,,0)</f>
        <v>Llywellyn Oscroft</v>
      </c>
      <c r="G17" s="2" t="str">
        <f>IF(_xlfn.XLOOKUP(C17, customers!$A:$A, customers!$C:$C,,0)=0, "", _xlfn.XLOOKUP(C17, customers!$A:$A, customers!$C:$C,,0))</f>
        <v>loscroftf@ebay.co.uk</v>
      </c>
      <c r="H17" s="2" t="str">
        <f>_xlfn.XLOOKUP(C17, customers!$A:$A, customers!$G:$G,,0)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f>INDEX(products!$A$1:$G$49,MATCH(orders!$D17,products!$A$1:$A$49,0),MATCH(orders!L$1,products!$A$1:$G$1,0))</f>
        <v>22.884999999999998</v>
      </c>
      <c r="M17">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cm="1">
        <f t="array" ref="F18">_xlfn.XLOOKUP(C18,customers!$A$1:$A1017,customers!$B$1:$B1017,,0)</f>
        <v>Minni Alabaster</v>
      </c>
      <c r="G18" s="2" t="str">
        <f>IF(_xlfn.XLOOKUP(C18, customers!$A:$A, customers!$C:$C,,0)=0, "", _xlfn.XLOOKUP(C18, customers!$A:$A, customers!$C:$C,,0))</f>
        <v>malabasterg@hexun.com</v>
      </c>
      <c r="H18" s="2" t="str">
        <f>_xlfn.XLOOKUP(C18, customers!$A:$A, customers!$G:$G,,0)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f>INDEX(products!$A$1:$G$49,MATCH(orders!$D18,products!$A$1:$A$49,0),MATCH(orders!L$1,products!$A$1:$G$1,0))</f>
        <v>3.375</v>
      </c>
      <c r="M18">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cm="1">
        <f t="array" ref="F19">_xlfn.XLOOKUP(C19,customers!$A$1:$A1018,customers!$B$1:$B1018,,0)</f>
        <v>Rhianon Broxup</v>
      </c>
      <c r="G19" s="2" t="str">
        <f>IF(_xlfn.XLOOKUP(C19, customers!$A:$A, customers!$C:$C,,0)=0, "", _xlfn.XLOOKUP(C19, customers!$A:$A, customers!$C:$C,,0))</f>
        <v>rbroxuph@jimdo.com</v>
      </c>
      <c r="H19" s="2" t="str">
        <f>_xlfn.XLOOKUP(C19, customers!$A:$A, customers!$G:$G,,0)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f>INDEX(products!$A$1:$G$49,MATCH(orders!$D19,products!$A$1:$A$49,0),MATCH(orders!L$1,products!$A$1:$G$1,0))</f>
        <v>12.95</v>
      </c>
      <c r="M19">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cm="1">
        <f t="array" ref="F20">_xlfn.XLOOKUP(C20,customers!$A$1:$A1019,customers!$B$1:$B1019,,0)</f>
        <v>Pall Redford</v>
      </c>
      <c r="G20" s="2" t="str">
        <f>IF(_xlfn.XLOOKUP(C20, customers!$A:$A, customers!$C:$C,,0)=0, "", _xlfn.XLOOKUP(C20, customers!$A:$A, customers!$C:$C,,0))</f>
        <v>predfordi@ow.ly</v>
      </c>
      <c r="H20" s="2" t="str">
        <f>_xlfn.XLOOKUP(C20, customers!$A:$A, customers!$G:$G,,0)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f>INDEX(products!$A$1:$G$49,MATCH(orders!$D20,products!$A$1:$A$49,0),MATCH(orders!L$1,products!$A$1:$G$1,0))</f>
        <v>20.584999999999997</v>
      </c>
      <c r="M20">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cm="1">
        <f t="array" ref="F21">_xlfn.XLOOKUP(C21,customers!$A$1:$A1020,customers!$B$1:$B1020,,0)</f>
        <v>Aurea Corradino</v>
      </c>
      <c r="G21" s="2" t="str">
        <f>IF(_xlfn.XLOOKUP(C21, customers!$A:$A, customers!$C:$C,,0)=0, "", _xlfn.XLOOKUP(C21, customers!$A:$A, customers!$C:$C,,0))</f>
        <v>acorradinoj@harvard.edu</v>
      </c>
      <c r="H21" s="2" t="str">
        <f>_xlfn.XLOOKUP(C21, customers!$A:$A, customers!$G:$G,,0)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f>INDEX(products!$A$1:$G$49,MATCH(orders!$D21,products!$A$1:$A$49,0),MATCH(orders!L$1,products!$A$1:$G$1,0))</f>
        <v>3.375</v>
      </c>
      <c r="M21">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cm="1">
        <f t="array" ref="F22">_xlfn.XLOOKUP(C22,customers!$A$1:$A1021,customers!$B$1:$B1021,,0)</f>
        <v>Aurea Corradino</v>
      </c>
      <c r="G22" s="2" t="str">
        <f>IF(_xlfn.XLOOKUP(C22, customers!$A:$A, customers!$C:$C,,0)=0, "", _xlfn.XLOOKUP(C22, customers!$A:$A, customers!$C:$C,,0))</f>
        <v>acorradinoj@harvard.edu</v>
      </c>
      <c r="H22" s="2" t="str">
        <f>_xlfn.XLOOKUP(C22, customers!$A:$A, customers!$G:$G,,0)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f>INDEX(products!$A$1:$G$49,MATCH(orders!$D22,products!$A$1:$A$49,0),MATCH(orders!L$1,products!$A$1:$G$1,0))</f>
        <v>3.645</v>
      </c>
      <c r="M22">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cm="1">
        <f t="array" ref="F23">_xlfn.XLOOKUP(C23,customers!$A$1:$A1022,customers!$B$1:$B1022,,0)</f>
        <v>Avrit Davidowsky</v>
      </c>
      <c r="G23" s="2" t="str">
        <f>IF(_xlfn.XLOOKUP(C23, customers!$A:$A, customers!$C:$C,,0)=0, "", _xlfn.XLOOKUP(C23, customers!$A:$A, customers!$C:$C,,0))</f>
        <v>adavidowskyl@netvibes.com</v>
      </c>
      <c r="H23" s="2" t="str">
        <f>_xlfn.XLOOKUP(C23, customers!$A:$A, customers!$G:$G,,0)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f>INDEX(products!$A$1:$G$49,MATCH(orders!$D23,products!$A$1:$A$49,0),MATCH(orders!L$1,products!$A$1:$G$1,0))</f>
        <v>2.9849999999999999</v>
      </c>
      <c r="M23">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cm="1">
        <f t="array" ref="F24">_xlfn.XLOOKUP(C24,customers!$A$1:$A1023,customers!$B$1:$B1023,,0)</f>
        <v>Annabel Antuk</v>
      </c>
      <c r="G24" s="2" t="str">
        <f>IF(_xlfn.XLOOKUP(C24, customers!$A:$A, customers!$C:$C,,0)=0, "", _xlfn.XLOOKUP(C24, customers!$A:$A, customers!$C:$C,,0))</f>
        <v>aantukm@kickstarter.com</v>
      </c>
      <c r="H24" s="2" t="str">
        <f>_xlfn.XLOOKUP(C24, customers!$A:$A, customers!$G:$G,,0)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f>INDEX(products!$A$1:$G$49,MATCH(orders!$D24,products!$A$1:$A$49,0),MATCH(orders!L$1,products!$A$1:$G$1,0))</f>
        <v>22.884999999999998</v>
      </c>
      <c r="M24">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cm="1">
        <f t="array" ref="F25">_xlfn.XLOOKUP(C25,customers!$A$1:$A1024,customers!$B$1:$B1024,,0)</f>
        <v>Iorgo Kleinert</v>
      </c>
      <c r="G25" s="2" t="str">
        <f>IF(_xlfn.XLOOKUP(C25, customers!$A:$A, customers!$C:$C,,0)=0, "", _xlfn.XLOOKUP(C25, customers!$A:$A, customers!$C:$C,,0))</f>
        <v>ikleinertn@timesonline.co.uk</v>
      </c>
      <c r="H25" s="2" t="str">
        <f>_xlfn.XLOOKUP(C25, customers!$A:$A, customers!$G:$G,,0)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f>INDEX(products!$A$1:$G$49,MATCH(orders!$D25,products!$A$1:$A$49,0),MATCH(orders!L$1,products!$A$1:$G$1,0))</f>
        <v>2.9849999999999999</v>
      </c>
      <c r="M2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cm="1">
        <f t="array" ref="F26">_xlfn.XLOOKUP(C26,customers!$A$1:$A1025,customers!$B$1:$B1025,,0)</f>
        <v>Chrisy Blofeld</v>
      </c>
      <c r="G26" s="2" t="str">
        <f>IF(_xlfn.XLOOKUP(C26, customers!$A:$A, customers!$C:$C,,0)=0, "", _xlfn.XLOOKUP(C26, customers!$A:$A, customers!$C:$C,,0))</f>
        <v>cblofeldo@amazon.co.uk</v>
      </c>
      <c r="H26" s="2" t="str">
        <f>_xlfn.XLOOKUP(C26, customers!$A:$A, customers!$G:$G,,0)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f>INDEX(products!$A$1:$G$49,MATCH(orders!$D26,products!$A$1:$A$49,0),MATCH(orders!L$1,products!$A$1:$G$1,0))</f>
        <v>11.25</v>
      </c>
      <c r="M26">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cm="1">
        <f t="array" ref="F27">_xlfn.XLOOKUP(C27,customers!$A$1:$A1026,customers!$B$1:$B1026,,0)</f>
        <v>Culley Farris</v>
      </c>
      <c r="G27" s="2" t="str">
        <f>IF(_xlfn.XLOOKUP(C27, customers!$A:$A, customers!$C:$C,,0)=0, "", _xlfn.XLOOKUP(C27, customers!$A:$A, customers!$C:$C,,0))</f>
        <v/>
      </c>
      <c r="H27" s="2" t="str">
        <f>_xlfn.XLOOKUP(C27, customers!$A:$A, customers!$G:$G,,0)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f>INDEX(products!$A$1:$G$49,MATCH(orders!$D27,products!$A$1:$A$49,0),MATCH(orders!L$1,products!$A$1:$G$1,0))</f>
        <v>4.125</v>
      </c>
      <c r="M27">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cm="1">
        <f t="array" ref="F28">_xlfn.XLOOKUP(C28,customers!$A$1:$A1027,customers!$B$1:$B1027,,0)</f>
        <v>Selene Shales</v>
      </c>
      <c r="G28" s="2" t="str">
        <f>IF(_xlfn.XLOOKUP(C28, customers!$A:$A, customers!$C:$C,,0)=0, "", _xlfn.XLOOKUP(C28, customers!$A:$A, customers!$C:$C,,0))</f>
        <v>sshalesq@umich.edu</v>
      </c>
      <c r="H28" s="2" t="str">
        <f>_xlfn.XLOOKUP(C28, customers!$A:$A, customers!$G:$G,,0)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f>INDEX(products!$A$1:$G$49,MATCH(orders!$D28,products!$A$1:$A$49,0),MATCH(orders!L$1,products!$A$1:$G$1,0))</f>
        <v>6.75</v>
      </c>
      <c r="M28">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cm="1">
        <f t="array" ref="F29">_xlfn.XLOOKUP(C29,customers!$A$1:$A1028,customers!$B$1:$B1028,,0)</f>
        <v>Vivie Danneil</v>
      </c>
      <c r="G29" s="2" t="str">
        <f>IF(_xlfn.XLOOKUP(C29, customers!$A:$A, customers!$C:$C,,0)=0, "", _xlfn.XLOOKUP(C29, customers!$A:$A, customers!$C:$C,,0))</f>
        <v>vdanneilr@mtv.com</v>
      </c>
      <c r="H29" s="2" t="str">
        <f>_xlfn.XLOOKUP(C29, customers!$A:$A, customers!$G:$G,,0)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f>INDEX(products!$A$1:$G$49,MATCH(orders!$D29,products!$A$1:$A$49,0),MATCH(orders!L$1,products!$A$1:$G$1,0))</f>
        <v>3.375</v>
      </c>
      <c r="M29">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cm="1">
        <f t="array" ref="F30">_xlfn.XLOOKUP(C30,customers!$A$1:$A1029,customers!$B$1:$B1029,,0)</f>
        <v>Theresita Newbury</v>
      </c>
      <c r="G30" s="2" t="str">
        <f>IF(_xlfn.XLOOKUP(C30, customers!$A:$A, customers!$C:$C,,0)=0, "", _xlfn.XLOOKUP(C30, customers!$A:$A, customers!$C:$C,,0))</f>
        <v>tnewburys@usda.gov</v>
      </c>
      <c r="H30" s="2" t="str">
        <f>_xlfn.XLOOKUP(C30, customers!$A:$A, customers!$G:$G,,0)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f>INDEX(products!$A$1:$G$49,MATCH(orders!$D30,products!$A$1:$A$49,0),MATCH(orders!L$1,products!$A$1:$G$1,0))</f>
        <v>5.97</v>
      </c>
      <c r="M30">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cm="1">
        <f t="array" ref="F31">_xlfn.XLOOKUP(C31,customers!$A$1:$A1030,customers!$B$1:$B1030,,0)</f>
        <v>Mozelle Calcutt</v>
      </c>
      <c r="G31" s="2" t="str">
        <f>IF(_xlfn.XLOOKUP(C31, customers!$A:$A, customers!$C:$C,,0)=0, "", _xlfn.XLOOKUP(C31, customers!$A:$A, customers!$C:$C,,0))</f>
        <v>mcalcuttt@baidu.com</v>
      </c>
      <c r="H31" s="2" t="str">
        <f>_xlfn.XLOOKUP(C31, customers!$A:$A, customers!$G:$G,,0)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f>INDEX(products!$A$1:$G$49,MATCH(orders!$D31,products!$A$1:$A$49,0),MATCH(orders!L$1,products!$A$1:$G$1,0))</f>
        <v>9.9499999999999993</v>
      </c>
      <c r="M31">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cm="1">
        <f t="array" ref="F32">_xlfn.XLOOKUP(C32,customers!$A$1:$A1031,customers!$B$1:$B1031,,0)</f>
        <v>Adrian Swaine</v>
      </c>
      <c r="G32" s="2" t="str">
        <f>IF(_xlfn.XLOOKUP(C32, customers!$A:$A, customers!$C:$C,,0)=0, "", _xlfn.XLOOKUP(C32, customers!$A:$A, customers!$C:$C,,0))</f>
        <v/>
      </c>
      <c r="H32" s="2" t="str">
        <f>_xlfn.XLOOKUP(C32, customers!$A:$A, customers!$G:$G,,0)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f>INDEX(products!$A$1:$G$49,MATCH(orders!$D32,products!$A$1:$A$49,0),MATCH(orders!L$1,products!$A$1:$G$1,0))</f>
        <v>4.3650000000000002</v>
      </c>
      <c r="M32">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cm="1">
        <f t="array" ref="F33">_xlfn.XLOOKUP(C33,customers!$A$1:$A1032,customers!$B$1:$B1032,,0)</f>
        <v>Adrian Swaine</v>
      </c>
      <c r="G33" s="2" t="str">
        <f>IF(_xlfn.XLOOKUP(C33, customers!$A:$A, customers!$C:$C,,0)=0, "", _xlfn.XLOOKUP(C33, customers!$A:$A, customers!$C:$C,,0))</f>
        <v/>
      </c>
      <c r="H33" s="2" t="str">
        <f>_xlfn.XLOOKUP(C33, customers!$A:$A, customers!$G:$G,,0)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f>INDEX(products!$A$1:$G$49,MATCH(orders!$D33,products!$A$1:$A$49,0),MATCH(orders!L$1,products!$A$1:$G$1,0))</f>
        <v>5.97</v>
      </c>
      <c r="M33">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cm="1">
        <f t="array" ref="F34">_xlfn.XLOOKUP(C34,customers!$A$1:$A1033,customers!$B$1:$B1033,,0)</f>
        <v>Adrian Swaine</v>
      </c>
      <c r="G34" s="2" t="str">
        <f>IF(_xlfn.XLOOKUP(C34, customers!$A:$A, customers!$C:$C,,0)=0, "", _xlfn.XLOOKUP(C34, customers!$A:$A, customers!$C:$C,,0))</f>
        <v/>
      </c>
      <c r="H34" s="2" t="str">
        <f>_xlfn.XLOOKUP(C34, customers!$A:$A, customers!$G:$G,,0)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f>INDEX(products!$A$1:$G$49,MATCH(orders!$D34,products!$A$1:$A$49,0),MATCH(orders!L$1,products!$A$1:$G$1,0))</f>
        <v>8.73</v>
      </c>
      <c r="M34">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cm="1">
        <f t="array" ref="F35">_xlfn.XLOOKUP(C35,customers!$A$1:$A1034,customers!$B$1:$B1034,,0)</f>
        <v>Gallard Gatheral</v>
      </c>
      <c r="G35" s="2" t="str">
        <f>IF(_xlfn.XLOOKUP(C35, customers!$A:$A, customers!$C:$C,,0)=0, "", _xlfn.XLOOKUP(C35, customers!$A:$A, customers!$C:$C,,0))</f>
        <v>ggatheralx@123-reg.co.uk</v>
      </c>
      <c r="H35" s="2" t="str">
        <f>_xlfn.XLOOKUP(C35, customers!$A:$A, customers!$G:$G,,0)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f>INDEX(products!$A$1:$G$49,MATCH(orders!$D35,products!$A$1:$A$49,0),MATCH(orders!L$1,products!$A$1:$G$1,0))</f>
        <v>4.7549999999999999</v>
      </c>
      <c r="M3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cm="1">
        <f t="array" ref="F36">_xlfn.XLOOKUP(C36,customers!$A$1:$A1035,customers!$B$1:$B1035,,0)</f>
        <v>Una Welberry</v>
      </c>
      <c r="G36" s="2" t="str">
        <f>IF(_xlfn.XLOOKUP(C36, customers!$A:$A, customers!$C:$C,,0)=0, "", _xlfn.XLOOKUP(C36, customers!$A:$A, customers!$C:$C,,0))</f>
        <v>uwelberryy@ebay.co.uk</v>
      </c>
      <c r="H36" s="2" t="str">
        <f>_xlfn.XLOOKUP(C36, customers!$A:$A, customers!$G:$G,,0)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f>INDEX(products!$A$1:$G$49,MATCH(orders!$D36,products!$A$1:$A$49,0),MATCH(orders!L$1,products!$A$1:$G$1,0))</f>
        <v>9.51</v>
      </c>
      <c r="M36">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cm="1">
        <f t="array" ref="F37">_xlfn.XLOOKUP(C37,customers!$A$1:$A1036,customers!$B$1:$B1036,,0)</f>
        <v>Faber Eilhart</v>
      </c>
      <c r="G37" s="2" t="str">
        <f>IF(_xlfn.XLOOKUP(C37, customers!$A:$A, customers!$C:$C,,0)=0, "", _xlfn.XLOOKUP(C37, customers!$A:$A, customers!$C:$C,,0))</f>
        <v>feilhartz@who.int</v>
      </c>
      <c r="H37" s="2" t="str">
        <f>_xlfn.XLOOKUP(C37, customers!$A:$A, customers!$G:$G,,0)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f>INDEX(products!$A$1:$G$49,MATCH(orders!$D37,products!$A$1:$A$49,0),MATCH(orders!L$1,products!$A$1:$G$1,0))</f>
        <v>5.97</v>
      </c>
      <c r="M37">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cm="1">
        <f t="array" ref="F38">_xlfn.XLOOKUP(C38,customers!$A$1:$A1037,customers!$B$1:$B1037,,0)</f>
        <v>Zorina Ponting</v>
      </c>
      <c r="G38" s="2" t="str">
        <f>IF(_xlfn.XLOOKUP(C38, customers!$A:$A, customers!$C:$C,,0)=0, "", _xlfn.XLOOKUP(C38, customers!$A:$A, customers!$C:$C,,0))</f>
        <v>zponting10@altervista.org</v>
      </c>
      <c r="H38" s="2" t="str">
        <f>_xlfn.XLOOKUP(C38, customers!$A:$A, customers!$G:$G,,0)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f>INDEX(products!$A$1:$G$49,MATCH(orders!$D38,products!$A$1:$A$49,0),MATCH(orders!L$1,products!$A$1:$G$1,0))</f>
        <v>4.3650000000000002</v>
      </c>
      <c r="M38">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cm="1">
        <f t="array" ref="F39">_xlfn.XLOOKUP(C39,customers!$A$1:$A1038,customers!$B$1:$B1038,,0)</f>
        <v>Silvio Strase</v>
      </c>
      <c r="G39" s="2" t="str">
        <f>IF(_xlfn.XLOOKUP(C39, customers!$A:$A, customers!$C:$C,,0)=0, "", _xlfn.XLOOKUP(C39, customers!$A:$A, customers!$C:$C,,0))</f>
        <v>sstrase11@booking.com</v>
      </c>
      <c r="H39" s="2" t="str">
        <f>_xlfn.XLOOKUP(C39, customers!$A:$A, customers!$G:$G,,0)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f>INDEX(products!$A$1:$G$49,MATCH(orders!$D39,products!$A$1:$A$49,0),MATCH(orders!L$1,products!$A$1:$G$1,0))</f>
        <v>9.51</v>
      </c>
      <c r="M39">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cm="1">
        <f t="array" ref="F40">_xlfn.XLOOKUP(C40,customers!$A$1:$A1039,customers!$B$1:$B1039,,0)</f>
        <v>Dorie de la Tremoille</v>
      </c>
      <c r="G40" s="2" t="str">
        <f>IF(_xlfn.XLOOKUP(C40, customers!$A:$A, customers!$C:$C,,0)=0, "", _xlfn.XLOOKUP(C40, customers!$A:$A, customers!$C:$C,,0))</f>
        <v>dde12@unesco.org</v>
      </c>
      <c r="H40" s="2" t="str">
        <f>_xlfn.XLOOKUP(C40, customers!$A:$A, customers!$G:$G,,0)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f>INDEX(products!$A$1:$G$49,MATCH(orders!$D40,products!$A$1:$A$49,0),MATCH(orders!L$1,products!$A$1:$G$1,0))</f>
        <v>22.884999999999998</v>
      </c>
      <c r="M40">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cm="1">
        <f t="array" ref="F41">_xlfn.XLOOKUP(C41,customers!$A$1:$A1040,customers!$B$1:$B1040,,0)</f>
        <v>Hy Zanetto</v>
      </c>
      <c r="G41" s="2" t="str">
        <f>IF(_xlfn.XLOOKUP(C41, customers!$A:$A, customers!$C:$C,,0)=0, "", _xlfn.XLOOKUP(C41, customers!$A:$A, customers!$C:$C,,0))</f>
        <v/>
      </c>
      <c r="H41" s="2" t="str">
        <f>_xlfn.XLOOKUP(C41, customers!$A:$A, customers!$G:$G,,0)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f>INDEX(products!$A$1:$G$49,MATCH(orders!$D41,products!$A$1:$A$49,0),MATCH(orders!L$1,products!$A$1:$G$1,0))</f>
        <v>9.9499999999999993</v>
      </c>
      <c r="M41">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cm="1">
        <f t="array" ref="F42">_xlfn.XLOOKUP(C42,customers!$A$1:$A1041,customers!$B$1:$B1041,,0)</f>
        <v>Jessica McNess</v>
      </c>
      <c r="G42" s="2" t="str">
        <f>IF(_xlfn.XLOOKUP(C42, customers!$A:$A, customers!$C:$C,,0)=0, "", _xlfn.XLOOKUP(C42, customers!$A:$A, customers!$C:$C,,0))</f>
        <v/>
      </c>
      <c r="H42" s="2" t="str">
        <f>_xlfn.XLOOKUP(C42, customers!$A:$A, customers!$G:$G,,0)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f>INDEX(products!$A$1:$G$49,MATCH(orders!$D42,products!$A$1:$A$49,0),MATCH(orders!L$1,products!$A$1:$G$1,0))</f>
        <v>14.55</v>
      </c>
      <c r="M42">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cm="1">
        <f t="array" ref="F43">_xlfn.XLOOKUP(C43,customers!$A$1:$A1042,customers!$B$1:$B1042,,0)</f>
        <v>Lorenzo Yeoland</v>
      </c>
      <c r="G43" s="2" t="str">
        <f>IF(_xlfn.XLOOKUP(C43, customers!$A:$A, customers!$C:$C,,0)=0, "", _xlfn.XLOOKUP(C43, customers!$A:$A, customers!$C:$C,,0))</f>
        <v>lyeoland15@pbs.org</v>
      </c>
      <c r="H43" s="2" t="str">
        <f>_xlfn.XLOOKUP(C43, customers!$A:$A, customers!$G:$G,,0)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f>INDEX(products!$A$1:$G$49,MATCH(orders!$D43,products!$A$1:$A$49,0),MATCH(orders!L$1,products!$A$1:$G$1,0))</f>
        <v>3.645</v>
      </c>
      <c r="M43">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cm="1">
        <f t="array" ref="F44">_xlfn.XLOOKUP(C44,customers!$A$1:$A1043,customers!$B$1:$B1043,,0)</f>
        <v>Abigail Tolworthy</v>
      </c>
      <c r="G44" s="2" t="str">
        <f>IF(_xlfn.XLOOKUP(C44, customers!$A:$A, customers!$C:$C,,0)=0, "", _xlfn.XLOOKUP(C44, customers!$A:$A, customers!$C:$C,,0))</f>
        <v>atolworthy16@toplist.cz</v>
      </c>
      <c r="H44" s="2" t="str">
        <f>_xlfn.XLOOKUP(C44, customers!$A:$A, customers!$G:$G,,0)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f>INDEX(products!$A$1:$G$49,MATCH(orders!$D44,products!$A$1:$A$49,0),MATCH(orders!L$1,products!$A$1:$G$1,0))</f>
        <v>2.6849999999999996</v>
      </c>
      <c r="M44">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cm="1">
        <f t="array" ref="F45">_xlfn.XLOOKUP(C45,customers!$A$1:$A1044,customers!$B$1:$B1044,,0)</f>
        <v>Maurie Bartol</v>
      </c>
      <c r="G45" s="2" t="str">
        <f>IF(_xlfn.XLOOKUP(C45, customers!$A:$A, customers!$C:$C,,0)=0, "", _xlfn.XLOOKUP(C45, customers!$A:$A, customers!$C:$C,,0))</f>
        <v/>
      </c>
      <c r="H45" s="2" t="str">
        <f>_xlfn.XLOOKUP(C45, customers!$A:$A, customers!$G:$G,,0)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f>INDEX(products!$A$1:$G$49,MATCH(orders!$D45,products!$A$1:$A$49,0),MATCH(orders!L$1,products!$A$1:$G$1,0))</f>
        <v>36.454999999999998</v>
      </c>
      <c r="M4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cm="1">
        <f t="array" ref="F46">_xlfn.XLOOKUP(C46,customers!$A$1:$A1045,customers!$B$1:$B1045,,0)</f>
        <v>Olag Baudassi</v>
      </c>
      <c r="G46" s="2" t="str">
        <f>IF(_xlfn.XLOOKUP(C46, customers!$A:$A, customers!$C:$C,,0)=0, "", _xlfn.XLOOKUP(C46, customers!$A:$A, customers!$C:$C,,0))</f>
        <v>obaudassi18@seesaa.net</v>
      </c>
      <c r="H46" s="2" t="str">
        <f>_xlfn.XLOOKUP(C46, customers!$A:$A, customers!$G:$G,,0)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f>INDEX(products!$A$1:$G$49,MATCH(orders!$D46,products!$A$1:$A$49,0),MATCH(orders!L$1,products!$A$1:$G$1,0))</f>
        <v>8.25</v>
      </c>
      <c r="M46">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cm="1">
        <f t="array" ref="F47">_xlfn.XLOOKUP(C47,customers!$A$1:$A1046,customers!$B$1:$B1046,,0)</f>
        <v>Petey Kingsbury</v>
      </c>
      <c r="G47" s="2" t="str">
        <f>IF(_xlfn.XLOOKUP(C47, customers!$A:$A, customers!$C:$C,,0)=0, "", _xlfn.XLOOKUP(C47, customers!$A:$A, customers!$C:$C,,0))</f>
        <v>pkingsbury19@comcast.net</v>
      </c>
      <c r="H47" s="2" t="str">
        <f>_xlfn.XLOOKUP(C47, customers!$A:$A, customers!$G:$G,,0)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f>INDEX(products!$A$1:$G$49,MATCH(orders!$D47,products!$A$1:$A$49,0),MATCH(orders!L$1,products!$A$1:$G$1,0))</f>
        <v>29.784999999999997</v>
      </c>
      <c r="M47">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cm="1">
        <f t="array" ref="F48">_xlfn.XLOOKUP(C48,customers!$A$1:$A1047,customers!$B$1:$B1047,,0)</f>
        <v>Donna Baskeyfied</v>
      </c>
      <c r="G48" s="2" t="str">
        <f>IF(_xlfn.XLOOKUP(C48, customers!$A:$A, customers!$C:$C,,0)=0, "", _xlfn.XLOOKUP(C48, customers!$A:$A, customers!$C:$C,,0))</f>
        <v/>
      </c>
      <c r="H48" s="2" t="str">
        <f>_xlfn.XLOOKUP(C48, customers!$A:$A, customers!$G:$G,,0)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f>INDEX(products!$A$1:$G$49,MATCH(orders!$D48,products!$A$1:$A$49,0),MATCH(orders!L$1,products!$A$1:$G$1,0))</f>
        <v>31.624999999999996</v>
      </c>
      <c r="M48">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cm="1">
        <f t="array" ref="F49">_xlfn.XLOOKUP(C49,customers!$A$1:$A1048,customers!$B$1:$B1048,,0)</f>
        <v>Arda Curley</v>
      </c>
      <c r="G49" s="2" t="str">
        <f>IF(_xlfn.XLOOKUP(C49, customers!$A:$A, customers!$C:$C,,0)=0, "", _xlfn.XLOOKUP(C49, customers!$A:$A, customers!$C:$C,,0))</f>
        <v>acurley1b@hao123.com</v>
      </c>
      <c r="H49" s="2" t="str">
        <f>_xlfn.XLOOKUP(C49, customers!$A:$A, customers!$G:$G,,0)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f>INDEX(products!$A$1:$G$49,MATCH(orders!$D49,products!$A$1:$A$49,0),MATCH(orders!L$1,products!$A$1:$G$1,0))</f>
        <v>3.8849999999999998</v>
      </c>
      <c r="M49">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cm="1">
        <f t="array" ref="F50">_xlfn.XLOOKUP(C50,customers!$A$1:$A1049,customers!$B$1:$B1049,,0)</f>
        <v>Raynor McGilvary</v>
      </c>
      <c r="G50" s="2" t="str">
        <f>IF(_xlfn.XLOOKUP(C50, customers!$A:$A, customers!$C:$C,,0)=0, "", _xlfn.XLOOKUP(C50, customers!$A:$A, customers!$C:$C,,0))</f>
        <v>rmcgilvary1c@tamu.edu</v>
      </c>
      <c r="H50" s="2" t="str">
        <f>_xlfn.XLOOKUP(C50, customers!$A:$A, customers!$G:$G,,0)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f>INDEX(products!$A$1:$G$49,MATCH(orders!$D50,products!$A$1:$A$49,0),MATCH(orders!L$1,products!$A$1:$G$1,0))</f>
        <v>22.884999999999998</v>
      </c>
      <c r="M50">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cm="1">
        <f t="array" ref="F51">_xlfn.XLOOKUP(C51,customers!$A$1:$A1050,customers!$B$1:$B1050,,0)</f>
        <v>Isis Pikett</v>
      </c>
      <c r="G51" s="2" t="str">
        <f>IF(_xlfn.XLOOKUP(C51, customers!$A:$A, customers!$C:$C,,0)=0, "", _xlfn.XLOOKUP(C51, customers!$A:$A, customers!$C:$C,,0))</f>
        <v>ipikett1d@xinhuanet.com</v>
      </c>
      <c r="H51" s="2" t="str">
        <f>_xlfn.XLOOKUP(C51, customers!$A:$A, customers!$G:$G,,0)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f>INDEX(products!$A$1:$G$49,MATCH(orders!$D51,products!$A$1:$A$49,0),MATCH(orders!L$1,products!$A$1:$G$1,0))</f>
        <v>12.95</v>
      </c>
      <c r="M51">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cm="1">
        <f t="array" ref="F52">_xlfn.XLOOKUP(C52,customers!$A$1:$A1051,customers!$B$1:$B1051,,0)</f>
        <v>Inger Bouldon</v>
      </c>
      <c r="G52" s="2" t="str">
        <f>IF(_xlfn.XLOOKUP(C52, customers!$A:$A, customers!$C:$C,,0)=0, "", _xlfn.XLOOKUP(C52, customers!$A:$A, customers!$C:$C,,0))</f>
        <v>ibouldon1e@gizmodo.com</v>
      </c>
      <c r="H52" s="2" t="str">
        <f>_xlfn.XLOOKUP(C52, customers!$A:$A, customers!$G:$G,,0)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f>INDEX(products!$A$1:$G$49,MATCH(orders!$D52,products!$A$1:$A$49,0),MATCH(orders!L$1,products!$A$1:$G$1,0))</f>
        <v>7.77</v>
      </c>
      <c r="M52">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cm="1">
        <f t="array" ref="F53">_xlfn.XLOOKUP(C53,customers!$A$1:$A1052,customers!$B$1:$B1052,,0)</f>
        <v>Karry Flanders</v>
      </c>
      <c r="G53" s="2" t="str">
        <f>IF(_xlfn.XLOOKUP(C53, customers!$A:$A, customers!$C:$C,,0)=0, "", _xlfn.XLOOKUP(C53, customers!$A:$A, customers!$C:$C,,0))</f>
        <v>kflanders1f@over-blog.com</v>
      </c>
      <c r="H53" s="2" t="str">
        <f>_xlfn.XLOOKUP(C53, customers!$A:$A, customers!$G:$G,,0)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f>INDEX(products!$A$1:$G$49,MATCH(orders!$D53,products!$A$1:$A$49,0),MATCH(orders!L$1,products!$A$1:$G$1,0))</f>
        <v>36.454999999999998</v>
      </c>
      <c r="M53">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cm="1">
        <f t="array" ref="F54">_xlfn.XLOOKUP(C54,customers!$A$1:$A1053,customers!$B$1:$B1053,,0)</f>
        <v>Hartley Mattioli</v>
      </c>
      <c r="G54" s="2" t="str">
        <f>IF(_xlfn.XLOOKUP(C54, customers!$A:$A, customers!$C:$C,,0)=0, "", _xlfn.XLOOKUP(C54, customers!$A:$A, customers!$C:$C,,0))</f>
        <v>hmattioli1g@webmd.com</v>
      </c>
      <c r="H54" s="2" t="str">
        <f>_xlfn.XLOOKUP(C54, customers!$A:$A, customers!$G:$G,,0)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f>INDEX(products!$A$1:$G$49,MATCH(orders!$D54,products!$A$1:$A$49,0),MATCH(orders!L$1,products!$A$1:$G$1,0))</f>
        <v>5.97</v>
      </c>
      <c r="M54">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cm="1">
        <f t="array" ref="F55">_xlfn.XLOOKUP(C55,customers!$A$1:$A1054,customers!$B$1:$B1054,,0)</f>
        <v>Hartley Mattioli</v>
      </c>
      <c r="G55" s="2" t="str">
        <f>IF(_xlfn.XLOOKUP(C55, customers!$A:$A, customers!$C:$C,,0)=0, "", _xlfn.XLOOKUP(C55, customers!$A:$A, customers!$C:$C,,0))</f>
        <v>hmattioli1g@webmd.com</v>
      </c>
      <c r="H55" s="2" t="str">
        <f>_xlfn.XLOOKUP(C55, customers!$A:$A, customers!$G:$G,,0)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f>INDEX(products!$A$1:$G$49,MATCH(orders!$D55,products!$A$1:$A$49,0),MATCH(orders!L$1,products!$A$1:$G$1,0))</f>
        <v>36.454999999999998</v>
      </c>
      <c r="M5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cm="1">
        <f t="array" ref="F56">_xlfn.XLOOKUP(C56,customers!$A$1:$A1055,customers!$B$1:$B1055,,0)</f>
        <v>Archambault Gillard</v>
      </c>
      <c r="G56" s="2" t="str">
        <f>IF(_xlfn.XLOOKUP(C56, customers!$A:$A, customers!$C:$C,,0)=0, "", _xlfn.XLOOKUP(C56, customers!$A:$A, customers!$C:$C,,0))</f>
        <v>agillard1i@issuu.com</v>
      </c>
      <c r="H56" s="2" t="str">
        <f>_xlfn.XLOOKUP(C56, customers!$A:$A, customers!$G:$G,,0)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f>INDEX(products!$A$1:$G$49,MATCH(orders!$D56,products!$A$1:$A$49,0),MATCH(orders!L$1,products!$A$1:$G$1,0))</f>
        <v>14.55</v>
      </c>
      <c r="M56">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cm="1">
        <f t="array" ref="F57">_xlfn.XLOOKUP(C57,customers!$A$1:$A1056,customers!$B$1:$B1056,,0)</f>
        <v>Salomo Cushworth</v>
      </c>
      <c r="G57" s="2" t="str">
        <f>IF(_xlfn.XLOOKUP(C57, customers!$A:$A, customers!$C:$C,,0)=0, "", _xlfn.XLOOKUP(C57, customers!$A:$A, customers!$C:$C,,0))</f>
        <v/>
      </c>
      <c r="H57" s="2" t="str">
        <f>_xlfn.XLOOKUP(C57, customers!$A:$A, customers!$G:$G,,0)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f>INDEX(products!$A$1:$G$49,MATCH(orders!$D57,products!$A$1:$A$49,0),MATCH(orders!L$1,products!$A$1:$G$1,0))</f>
        <v>15.85</v>
      </c>
      <c r="M57">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cm="1">
        <f t="array" ref="F58">_xlfn.XLOOKUP(C58,customers!$A$1:$A1057,customers!$B$1:$B1057,,0)</f>
        <v>Theda Grizard</v>
      </c>
      <c r="G58" s="2" t="str">
        <f>IF(_xlfn.XLOOKUP(C58, customers!$A:$A, customers!$C:$C,,0)=0, "", _xlfn.XLOOKUP(C58, customers!$A:$A, customers!$C:$C,,0))</f>
        <v>tgrizard1k@odnoklassniki.ru</v>
      </c>
      <c r="H58" s="2" t="str">
        <f>_xlfn.XLOOKUP(C58, customers!$A:$A, customers!$G:$G,,0)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f>INDEX(products!$A$1:$G$49,MATCH(orders!$D58,products!$A$1:$A$49,0),MATCH(orders!L$1,products!$A$1:$G$1,0))</f>
        <v>3.645</v>
      </c>
      <c r="M58">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cm="1">
        <f t="array" ref="F59">_xlfn.XLOOKUP(C59,customers!$A$1:$A1058,customers!$B$1:$B1058,,0)</f>
        <v>Rozele Relton</v>
      </c>
      <c r="G59" s="2" t="str">
        <f>IF(_xlfn.XLOOKUP(C59, customers!$A:$A, customers!$C:$C,,0)=0, "", _xlfn.XLOOKUP(C59, customers!$A:$A, customers!$C:$C,,0))</f>
        <v>rrelton1l@stanford.edu</v>
      </c>
      <c r="H59" s="2" t="str">
        <f>_xlfn.XLOOKUP(C59, customers!$A:$A, customers!$G:$G,,0)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f>INDEX(products!$A$1:$G$49,MATCH(orders!$D59,products!$A$1:$A$49,0),MATCH(orders!L$1,products!$A$1:$G$1,0))</f>
        <v>14.85</v>
      </c>
      <c r="M59">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cm="1">
        <f t="array" ref="F60">_xlfn.XLOOKUP(C60,customers!$A$1:$A1059,customers!$B$1:$B1059,,0)</f>
        <v>Willa Rolling</v>
      </c>
      <c r="G60" s="2" t="str">
        <f>IF(_xlfn.XLOOKUP(C60, customers!$A:$A, customers!$C:$C,,0)=0, "", _xlfn.XLOOKUP(C60, customers!$A:$A, customers!$C:$C,,0))</f>
        <v/>
      </c>
      <c r="H60" s="2" t="str">
        <f>_xlfn.XLOOKUP(C60, customers!$A:$A, customers!$G:$G,,0)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f>INDEX(products!$A$1:$G$49,MATCH(orders!$D60,products!$A$1:$A$49,0),MATCH(orders!L$1,products!$A$1:$G$1,0))</f>
        <v>29.784999999999997</v>
      </c>
      <c r="M60">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cm="1">
        <f t="array" ref="F61">_xlfn.XLOOKUP(C61,customers!$A$1:$A1060,customers!$B$1:$B1060,,0)</f>
        <v>Stanislaus Gilroy</v>
      </c>
      <c r="G61" s="2" t="str">
        <f>IF(_xlfn.XLOOKUP(C61, customers!$A:$A, customers!$C:$C,,0)=0, "", _xlfn.XLOOKUP(C61, customers!$A:$A, customers!$C:$C,,0))</f>
        <v>sgilroy1n@eepurl.com</v>
      </c>
      <c r="H61" s="2" t="str">
        <f>_xlfn.XLOOKUP(C61, customers!$A:$A, customers!$G:$G,,0)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f>INDEX(products!$A$1:$G$49,MATCH(orders!$D61,products!$A$1:$A$49,0),MATCH(orders!L$1,products!$A$1:$G$1,0))</f>
        <v>8.73</v>
      </c>
      <c r="M61">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cm="1">
        <f t="array" ref="F62">_xlfn.XLOOKUP(C62,customers!$A$1:$A1061,customers!$B$1:$B1061,,0)</f>
        <v>Correy Cottingham</v>
      </c>
      <c r="G62" s="2" t="str">
        <f>IF(_xlfn.XLOOKUP(C62, customers!$A:$A, customers!$C:$C,,0)=0, "", _xlfn.XLOOKUP(C62, customers!$A:$A, customers!$C:$C,,0))</f>
        <v>ccottingham1o@wikipedia.org</v>
      </c>
      <c r="H62" s="2" t="str">
        <f>_xlfn.XLOOKUP(C62, customers!$A:$A, customers!$G:$G,,0)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f>INDEX(products!$A$1:$G$49,MATCH(orders!$D62,products!$A$1:$A$49,0),MATCH(orders!L$1,products!$A$1:$G$1,0))</f>
        <v>22.884999999999998</v>
      </c>
      <c r="M62">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cm="1">
        <f t="array" ref="F63">_xlfn.XLOOKUP(C63,customers!$A$1:$A1062,customers!$B$1:$B1062,,0)</f>
        <v>Pammi Endacott</v>
      </c>
      <c r="G63" s="2" t="str">
        <f>IF(_xlfn.XLOOKUP(C63, customers!$A:$A, customers!$C:$C,,0)=0, "", _xlfn.XLOOKUP(C63, customers!$A:$A, customers!$C:$C,,0))</f>
        <v/>
      </c>
      <c r="H63" s="2" t="str">
        <f>_xlfn.XLOOKUP(C63, customers!$A:$A, customers!$G:$G,,0)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f>INDEX(products!$A$1:$G$49,MATCH(orders!$D63,products!$A$1:$A$49,0),MATCH(orders!L$1,products!$A$1:$G$1,0))</f>
        <v>5.3699999999999992</v>
      </c>
      <c r="M63">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cm="1">
        <f t="array" ref="F64">_xlfn.XLOOKUP(C64,customers!$A$1:$A1063,customers!$B$1:$B1063,,0)</f>
        <v>Nona Linklater</v>
      </c>
      <c r="G64" s="2" t="str">
        <f>IF(_xlfn.XLOOKUP(C64, customers!$A:$A, customers!$C:$C,,0)=0, "", _xlfn.XLOOKUP(C64, customers!$A:$A, customers!$C:$C,,0))</f>
        <v/>
      </c>
      <c r="H64" s="2" t="str">
        <f>_xlfn.XLOOKUP(C64, customers!$A:$A, customers!$G:$G,,0)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f>INDEX(products!$A$1:$G$49,MATCH(orders!$D64,products!$A$1:$A$49,0),MATCH(orders!L$1,products!$A$1:$G$1,0))</f>
        <v>4.7549999999999999</v>
      </c>
      <c r="M64">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cm="1">
        <f t="array" ref="F65">_xlfn.XLOOKUP(C65,customers!$A$1:$A1064,customers!$B$1:$B1064,,0)</f>
        <v>Annadiane Dykes</v>
      </c>
      <c r="G65" s="2" t="str">
        <f>IF(_xlfn.XLOOKUP(C65, customers!$A:$A, customers!$C:$C,,0)=0, "", _xlfn.XLOOKUP(C65, customers!$A:$A, customers!$C:$C,,0))</f>
        <v>adykes1r@eventbrite.com</v>
      </c>
      <c r="H65" s="2" t="str">
        <f>_xlfn.XLOOKUP(C65, customers!$A:$A, customers!$G:$G,,0)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f>INDEX(products!$A$1:$G$49,MATCH(orders!$D65,products!$A$1:$A$49,0),MATCH(orders!L$1,products!$A$1:$G$1,0))</f>
        <v>6.75</v>
      </c>
      <c r="M6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cm="1">
        <f t="array" ref="F66">_xlfn.XLOOKUP(C66,customers!$A$1:$A1065,customers!$B$1:$B1065,,0)</f>
        <v>Felecia Dodgson</v>
      </c>
      <c r="G66" s="2" t="str">
        <f>IF(_xlfn.XLOOKUP(C66, customers!$A:$A, customers!$C:$C,,0)=0, "", _xlfn.XLOOKUP(C66, customers!$A:$A, customers!$C:$C,,0))</f>
        <v/>
      </c>
      <c r="H66" s="2" t="str">
        <f>_xlfn.XLOOKUP(C66, customers!$A:$A, customers!$G:$G,,0)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f>INDEX(products!$A$1:$G$49,MATCH(orders!$D66,products!$A$1:$A$49,0),MATCH(orders!L$1,products!$A$1:$G$1,0))</f>
        <v>5.97</v>
      </c>
      <c r="M66">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cm="1">
        <f t="array" ref="F67">_xlfn.XLOOKUP(C67,customers!$A$1:$A1066,customers!$B$1:$B1066,,0)</f>
        <v>Angelia Cockrem</v>
      </c>
      <c r="G67" s="2" t="str">
        <f>IF(_xlfn.XLOOKUP(C67, customers!$A:$A, customers!$C:$C,,0)=0, "", _xlfn.XLOOKUP(C67, customers!$A:$A, customers!$C:$C,,0))</f>
        <v>acockrem1t@engadget.com</v>
      </c>
      <c r="H67" s="2" t="str">
        <f>_xlfn.XLOOKUP(C67, customers!$A:$A, customers!$G:$G,,0)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f>INDEX(products!$A$1:$G$49,MATCH(orders!$D67,products!$A$1:$A$49,0),MATCH(orders!L$1,products!$A$1:$G$1,0))</f>
        <v>20.584999999999997</v>
      </c>
      <c r="M67">
        <f t="shared" ref="M67:M130" si="3">L67*E67</f>
        <v>82.339999999999989</v>
      </c>
      <c r="N67" t="str">
        <f t="shared" ref="N67:N130" si="4">IF(I67="Rob", "Robusta", IF(I67="Exc","Excelsa",IF(I67="Ara","Arabica", 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cm="1">
        <f t="array" ref="F68">_xlfn.XLOOKUP(C68,customers!$A$1:$A1067,customers!$B$1:$B1067,,0)</f>
        <v>Belvia Umpleby</v>
      </c>
      <c r="G68" s="2" t="str">
        <f>IF(_xlfn.XLOOKUP(C68, customers!$A:$A, customers!$C:$C,,0)=0, "", _xlfn.XLOOKUP(C68, customers!$A:$A, customers!$C:$C,,0))</f>
        <v>bumpleby1u@soundcloud.com</v>
      </c>
      <c r="H68" s="2" t="str">
        <f>_xlfn.XLOOKUP(C68, customers!$A:$A, customers!$G:$G,,0)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f>INDEX(products!$A$1:$G$49,MATCH(orders!$D68,products!$A$1:$A$49,0),MATCH(orders!L$1,products!$A$1:$G$1,0))</f>
        <v>7.169999999999999</v>
      </c>
      <c r="M68">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cm="1">
        <f t="array" ref="F69">_xlfn.XLOOKUP(C69,customers!$A$1:$A1068,customers!$B$1:$B1068,,0)</f>
        <v>Nat Saleway</v>
      </c>
      <c r="G69" s="2" t="str">
        <f>IF(_xlfn.XLOOKUP(C69, customers!$A:$A, customers!$C:$C,,0)=0, "", _xlfn.XLOOKUP(C69, customers!$A:$A, customers!$C:$C,,0))</f>
        <v>nsaleway1v@dedecms.com</v>
      </c>
      <c r="H69" s="2" t="str">
        <f>_xlfn.XLOOKUP(C69, customers!$A:$A, customers!$G:$G,,0)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f>INDEX(products!$A$1:$G$49,MATCH(orders!$D69,products!$A$1:$A$49,0),MATCH(orders!L$1,products!$A$1:$G$1,0))</f>
        <v>4.7549999999999999</v>
      </c>
      <c r="M69">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cm="1">
        <f t="array" ref="F70">_xlfn.XLOOKUP(C70,customers!$A$1:$A1069,customers!$B$1:$B1069,,0)</f>
        <v>Hayward Goulter</v>
      </c>
      <c r="G70" s="2" t="str">
        <f>IF(_xlfn.XLOOKUP(C70, customers!$A:$A, customers!$C:$C,,0)=0, "", _xlfn.XLOOKUP(C70, customers!$A:$A, customers!$C:$C,,0))</f>
        <v>hgoulter1w@abc.net.au</v>
      </c>
      <c r="H70" s="2" t="str">
        <f>_xlfn.XLOOKUP(C70, customers!$A:$A, customers!$G:$G,,0)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f>INDEX(products!$A$1:$G$49,MATCH(orders!$D70,products!$A$1:$A$49,0),MATCH(orders!L$1,products!$A$1:$G$1,0))</f>
        <v>2.9849999999999999</v>
      </c>
      <c r="M70">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cm="1">
        <f t="array" ref="F71">_xlfn.XLOOKUP(C71,customers!$A$1:$A1070,customers!$B$1:$B1070,,0)</f>
        <v>Gay Rizzello</v>
      </c>
      <c r="G71" s="2" t="str">
        <f>IF(_xlfn.XLOOKUP(C71, customers!$A:$A, customers!$C:$C,,0)=0, "", _xlfn.XLOOKUP(C71, customers!$A:$A, customers!$C:$C,,0))</f>
        <v>grizzello1x@symantec.com</v>
      </c>
      <c r="H71" s="2" t="str">
        <f>_xlfn.XLOOKUP(C71, customers!$A:$A, customers!$G:$G,,0)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f>INDEX(products!$A$1:$G$49,MATCH(orders!$D71,products!$A$1:$A$49,0),MATCH(orders!L$1,products!$A$1:$G$1,0))</f>
        <v>9.9499999999999993</v>
      </c>
      <c r="M71">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cm="1">
        <f t="array" ref="F72">_xlfn.XLOOKUP(C72,customers!$A$1:$A1071,customers!$B$1:$B1071,,0)</f>
        <v>Shannon List</v>
      </c>
      <c r="G72" s="2" t="str">
        <f>IF(_xlfn.XLOOKUP(C72, customers!$A:$A, customers!$C:$C,,0)=0, "", _xlfn.XLOOKUP(C72, customers!$A:$A, customers!$C:$C,,0))</f>
        <v>slist1y@mapquest.com</v>
      </c>
      <c r="H72" s="2" t="str">
        <f>_xlfn.XLOOKUP(C72, customers!$A:$A, customers!$G:$G,,0)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f>INDEX(products!$A$1:$G$49,MATCH(orders!$D72,products!$A$1:$A$49,0),MATCH(orders!L$1,products!$A$1:$G$1,0))</f>
        <v>34.154999999999994</v>
      </c>
      <c r="M72">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cm="1">
        <f t="array" ref="F73">_xlfn.XLOOKUP(C73,customers!$A$1:$A1072,customers!$B$1:$B1072,,0)</f>
        <v>Shirlene Edmondson</v>
      </c>
      <c r="G73" s="2" t="str">
        <f>IF(_xlfn.XLOOKUP(C73, customers!$A:$A, customers!$C:$C,,0)=0, "", _xlfn.XLOOKUP(C73, customers!$A:$A, customers!$C:$C,,0))</f>
        <v>sedmondson1z@theguardian.com</v>
      </c>
      <c r="H73" s="2" t="str">
        <f>_xlfn.XLOOKUP(C73, customers!$A:$A, customers!$G:$G,,0)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f>INDEX(products!$A$1:$G$49,MATCH(orders!$D73,products!$A$1:$A$49,0),MATCH(orders!L$1,products!$A$1:$G$1,0))</f>
        <v>4.7549999999999999</v>
      </c>
      <c r="M73">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cm="1">
        <f t="array" ref="F74">_xlfn.XLOOKUP(C74,customers!$A$1:$A1073,customers!$B$1:$B1073,,0)</f>
        <v>Aurlie McCarl</v>
      </c>
      <c r="G74" s="2" t="str">
        <f>IF(_xlfn.XLOOKUP(C74, customers!$A:$A, customers!$C:$C,,0)=0, "", _xlfn.XLOOKUP(C74, customers!$A:$A, customers!$C:$C,,0))</f>
        <v/>
      </c>
      <c r="H74" s="2" t="str">
        <f>_xlfn.XLOOKUP(C74, customers!$A:$A, customers!$G:$G,,0)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f>INDEX(products!$A$1:$G$49,MATCH(orders!$D74,products!$A$1:$A$49,0),MATCH(orders!L$1,products!$A$1:$G$1,0))</f>
        <v>25.874999999999996</v>
      </c>
      <c r="M74">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cm="1">
        <f t="array" ref="F75">_xlfn.XLOOKUP(C75,customers!$A$1:$A1074,customers!$B$1:$B1074,,0)</f>
        <v>Alikee Carryer</v>
      </c>
      <c r="G75" s="2" t="str">
        <f>IF(_xlfn.XLOOKUP(C75, customers!$A:$A, customers!$C:$C,,0)=0, "", _xlfn.XLOOKUP(C75, customers!$A:$A, customers!$C:$C,,0))</f>
        <v/>
      </c>
      <c r="H75" s="2" t="str">
        <f>_xlfn.XLOOKUP(C75, customers!$A:$A, customers!$G:$G,,0)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f>INDEX(products!$A$1:$G$49,MATCH(orders!$D75,products!$A$1:$A$49,0),MATCH(orders!L$1,products!$A$1:$G$1,0))</f>
        <v>4.3650000000000002</v>
      </c>
      <c r="M7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cm="1">
        <f t="array" ref="F76">_xlfn.XLOOKUP(C76,customers!$A$1:$A1075,customers!$B$1:$B1075,,0)</f>
        <v>Jennifer Rangall</v>
      </c>
      <c r="G76" s="2" t="str">
        <f>IF(_xlfn.XLOOKUP(C76, customers!$A:$A, customers!$C:$C,,0)=0, "", _xlfn.XLOOKUP(C76, customers!$A:$A, customers!$C:$C,,0))</f>
        <v>jrangall22@newsvine.com</v>
      </c>
      <c r="H76" s="2" t="str">
        <f>_xlfn.XLOOKUP(C76, customers!$A:$A, customers!$G:$G,,0)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f>INDEX(products!$A$1:$G$49,MATCH(orders!$D76,products!$A$1:$A$49,0),MATCH(orders!L$1,products!$A$1:$G$1,0))</f>
        <v>8.91</v>
      </c>
      <c r="M76">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cm="1">
        <f t="array" ref="F77">_xlfn.XLOOKUP(C77,customers!$A$1:$A1076,customers!$B$1:$B1076,,0)</f>
        <v>Kipper Boorn</v>
      </c>
      <c r="G77" s="2" t="str">
        <f>IF(_xlfn.XLOOKUP(C77, customers!$A:$A, customers!$C:$C,,0)=0, "", _xlfn.XLOOKUP(C77, customers!$A:$A, customers!$C:$C,,0))</f>
        <v>kboorn23@ezinearticles.com</v>
      </c>
      <c r="H77" s="2" t="str">
        <f>_xlfn.XLOOKUP(C77, customers!$A:$A, customers!$G:$G,,0)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f>INDEX(products!$A$1:$G$49,MATCH(orders!$D77,products!$A$1:$A$49,0),MATCH(orders!L$1,products!$A$1:$G$1,0))</f>
        <v>8.9499999999999993</v>
      </c>
      <c r="M77">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cm="1">
        <f t="array" ref="F78">_xlfn.XLOOKUP(C78,customers!$A$1:$A1077,customers!$B$1:$B1077,,0)</f>
        <v>Melania Beadle</v>
      </c>
      <c r="G78" s="2" t="str">
        <f>IF(_xlfn.XLOOKUP(C78, customers!$A:$A, customers!$C:$C,,0)=0, "", _xlfn.XLOOKUP(C78, customers!$A:$A, customers!$C:$C,,0))</f>
        <v/>
      </c>
      <c r="H78" s="2" t="str">
        <f>_xlfn.XLOOKUP(C78, customers!$A:$A, customers!$G:$G,,0)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f>INDEX(products!$A$1:$G$49,MATCH(orders!$D78,products!$A$1:$A$49,0),MATCH(orders!L$1,products!$A$1:$G$1,0))</f>
        <v>3.5849999999999995</v>
      </c>
      <c r="M78">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cm="1">
        <f t="array" ref="F79">_xlfn.XLOOKUP(C79,customers!$A$1:$A1078,customers!$B$1:$B1078,,0)</f>
        <v>Colene Elgey</v>
      </c>
      <c r="G79" s="2" t="str">
        <f>IF(_xlfn.XLOOKUP(C79, customers!$A:$A, customers!$C:$C,,0)=0, "", _xlfn.XLOOKUP(C79, customers!$A:$A, customers!$C:$C,,0))</f>
        <v>celgey25@webs.com</v>
      </c>
      <c r="H79" s="2" t="str">
        <f>_xlfn.XLOOKUP(C79, customers!$A:$A, customers!$G:$G,,0)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f>INDEX(products!$A$1:$G$49,MATCH(orders!$D79,products!$A$1:$A$49,0),MATCH(orders!L$1,products!$A$1:$G$1,0))</f>
        <v>3.645</v>
      </c>
      <c r="M79">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cm="1">
        <f t="array" ref="F80">_xlfn.XLOOKUP(C80,customers!$A$1:$A1079,customers!$B$1:$B1079,,0)</f>
        <v>Lothaire Mizzi</v>
      </c>
      <c r="G80" s="2" t="str">
        <f>IF(_xlfn.XLOOKUP(C80, customers!$A:$A, customers!$C:$C,,0)=0, "", _xlfn.XLOOKUP(C80, customers!$A:$A, customers!$C:$C,,0))</f>
        <v>lmizzi26@rakuten.co.jp</v>
      </c>
      <c r="H80" s="2" t="str">
        <f>_xlfn.XLOOKUP(C80, customers!$A:$A, customers!$G:$G,,0)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f>INDEX(products!$A$1:$G$49,MATCH(orders!$D80,products!$A$1:$A$49,0),MATCH(orders!L$1,products!$A$1:$G$1,0))</f>
        <v>6.75</v>
      </c>
      <c r="M80">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cm="1">
        <f t="array" ref="F81">_xlfn.XLOOKUP(C81,customers!$A$1:$A1080,customers!$B$1:$B1080,,0)</f>
        <v>Cletis Giacomazzo</v>
      </c>
      <c r="G81" s="2" t="str">
        <f>IF(_xlfn.XLOOKUP(C81, customers!$A:$A, customers!$C:$C,,0)=0, "", _xlfn.XLOOKUP(C81, customers!$A:$A, customers!$C:$C,,0))</f>
        <v>cgiacomazzo27@jigsy.com</v>
      </c>
      <c r="H81" s="2" t="str">
        <f>_xlfn.XLOOKUP(C81, customers!$A:$A, customers!$G:$G,,0)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f>INDEX(products!$A$1:$G$49,MATCH(orders!$D81,products!$A$1:$A$49,0),MATCH(orders!L$1,products!$A$1:$G$1,0))</f>
        <v>11.95</v>
      </c>
      <c r="M81">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cm="1">
        <f t="array" ref="F82">_xlfn.XLOOKUP(C82,customers!$A$1:$A1081,customers!$B$1:$B1081,,0)</f>
        <v>Ami Arnow</v>
      </c>
      <c r="G82" s="2" t="str">
        <f>IF(_xlfn.XLOOKUP(C82, customers!$A:$A, customers!$C:$C,,0)=0, "", _xlfn.XLOOKUP(C82, customers!$A:$A, customers!$C:$C,,0))</f>
        <v>aarnow28@arizona.edu</v>
      </c>
      <c r="H82" s="2" t="str">
        <f>_xlfn.XLOOKUP(C82, customers!$A:$A, customers!$G:$G,,0)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f>INDEX(products!$A$1:$G$49,MATCH(orders!$D82,products!$A$1:$A$49,0),MATCH(orders!L$1,products!$A$1:$G$1,0))</f>
        <v>7.77</v>
      </c>
      <c r="M82">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cm="1">
        <f t="array" ref="F83">_xlfn.XLOOKUP(C83,customers!$A$1:$A1082,customers!$B$1:$B1082,,0)</f>
        <v>Sheppard Yann</v>
      </c>
      <c r="G83" s="2" t="str">
        <f>IF(_xlfn.XLOOKUP(C83, customers!$A:$A, customers!$C:$C,,0)=0, "", _xlfn.XLOOKUP(C83, customers!$A:$A, customers!$C:$C,,0))</f>
        <v>syann29@senate.gov</v>
      </c>
      <c r="H83" s="2" t="str">
        <f>_xlfn.XLOOKUP(C83, customers!$A:$A, customers!$G:$G,,0)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f>INDEX(products!$A$1:$G$49,MATCH(orders!$D83,products!$A$1:$A$49,0),MATCH(orders!L$1,products!$A$1:$G$1,0))</f>
        <v>36.454999999999998</v>
      </c>
      <c r="M83">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cm="1">
        <f t="array" ref="F84">_xlfn.XLOOKUP(C84,customers!$A$1:$A1083,customers!$B$1:$B1083,,0)</f>
        <v>Bunny Naulls</v>
      </c>
      <c r="G84" s="2" t="str">
        <f>IF(_xlfn.XLOOKUP(C84, customers!$A:$A, customers!$C:$C,,0)=0, "", _xlfn.XLOOKUP(C84, customers!$A:$A, customers!$C:$C,,0))</f>
        <v>bnaulls2a@tiny.cc</v>
      </c>
      <c r="H84" s="2" t="str">
        <f>_xlfn.XLOOKUP(C84, customers!$A:$A, customers!$G:$G,,0)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f>INDEX(products!$A$1:$G$49,MATCH(orders!$D84,products!$A$1:$A$49,0),MATCH(orders!L$1,products!$A$1:$G$1,0))</f>
        <v>33.464999999999996</v>
      </c>
      <c r="M84">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cm="1">
        <f t="array" ref="F85">_xlfn.XLOOKUP(C85,customers!$A$1:$A1084,customers!$B$1:$B1084,,0)</f>
        <v>Hally Lorait</v>
      </c>
      <c r="G85" s="2" t="str">
        <f>IF(_xlfn.XLOOKUP(C85, customers!$A:$A, customers!$C:$C,,0)=0, "", _xlfn.XLOOKUP(C85, customers!$A:$A, customers!$C:$C,,0))</f>
        <v/>
      </c>
      <c r="H85" s="2" t="str">
        <f>_xlfn.XLOOKUP(C85, customers!$A:$A, customers!$G:$G,,0)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f>INDEX(products!$A$1:$G$49,MATCH(orders!$D85,products!$A$1:$A$49,0),MATCH(orders!L$1,products!$A$1:$G$1,0))</f>
        <v>20.584999999999997</v>
      </c>
      <c r="M8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cm="1">
        <f t="array" ref="F86">_xlfn.XLOOKUP(C86,customers!$A$1:$A1085,customers!$B$1:$B1085,,0)</f>
        <v>Zaccaria Sherewood</v>
      </c>
      <c r="G86" s="2" t="str">
        <f>IF(_xlfn.XLOOKUP(C86, customers!$A:$A, customers!$C:$C,,0)=0, "", _xlfn.XLOOKUP(C86, customers!$A:$A, customers!$C:$C,,0))</f>
        <v>zsherewood2c@apache.org</v>
      </c>
      <c r="H86" s="2" t="str">
        <f>_xlfn.XLOOKUP(C86, customers!$A:$A, customers!$G:$G,,0)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f>INDEX(products!$A$1:$G$49,MATCH(orders!$D86,products!$A$1:$A$49,0),MATCH(orders!L$1,products!$A$1:$G$1,0))</f>
        <v>9.51</v>
      </c>
      <c r="M86">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cm="1">
        <f t="array" ref="F87">_xlfn.XLOOKUP(C87,customers!$A$1:$A1086,customers!$B$1:$B1086,,0)</f>
        <v>Jeffrey Dufaire</v>
      </c>
      <c r="G87" s="2" t="str">
        <f>IF(_xlfn.XLOOKUP(C87, customers!$A:$A, customers!$C:$C,,0)=0, "", _xlfn.XLOOKUP(C87, customers!$A:$A, customers!$C:$C,,0))</f>
        <v>jdufaire2d@fc2.com</v>
      </c>
      <c r="H87" s="2" t="str">
        <f>_xlfn.XLOOKUP(C87, customers!$A:$A, customers!$G:$G,,0)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f>INDEX(products!$A$1:$G$49,MATCH(orders!$D87,products!$A$1:$A$49,0),MATCH(orders!L$1,products!$A$1:$G$1,0))</f>
        <v>29.784999999999997</v>
      </c>
      <c r="M87">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cm="1">
        <f t="array" ref="F88">_xlfn.XLOOKUP(C88,customers!$A$1:$A1087,customers!$B$1:$B1087,,0)</f>
        <v>Jeffrey Dufaire</v>
      </c>
      <c r="G88" s="2" t="str">
        <f>IF(_xlfn.XLOOKUP(C88, customers!$A:$A, customers!$C:$C,,0)=0, "", _xlfn.XLOOKUP(C88, customers!$A:$A, customers!$C:$C,,0))</f>
        <v>jdufaire2d@fc2.com</v>
      </c>
      <c r="H88" s="2" t="str">
        <f>_xlfn.XLOOKUP(C88, customers!$A:$A, customers!$G:$G,,0)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f>INDEX(products!$A$1:$G$49,MATCH(orders!$D88,products!$A$1:$A$49,0),MATCH(orders!L$1,products!$A$1:$G$1,0))</f>
        <v>2.9849999999999999</v>
      </c>
      <c r="M88">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cm="1">
        <f t="array" ref="F89">_xlfn.XLOOKUP(C89,customers!$A$1:$A1088,customers!$B$1:$B1088,,0)</f>
        <v>Beitris Keaveney</v>
      </c>
      <c r="G89" s="2" t="str">
        <f>IF(_xlfn.XLOOKUP(C89, customers!$A:$A, customers!$C:$C,,0)=0, "", _xlfn.XLOOKUP(C89, customers!$A:$A, customers!$C:$C,,0))</f>
        <v>bkeaveney2f@netlog.com</v>
      </c>
      <c r="H89" s="2" t="str">
        <f>_xlfn.XLOOKUP(C89, customers!$A:$A, customers!$G:$G,,0)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f>INDEX(products!$A$1:$G$49,MATCH(orders!$D89,products!$A$1:$A$49,0),MATCH(orders!L$1,products!$A$1:$G$1,0))</f>
        <v>11.25</v>
      </c>
      <c r="M89">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cm="1">
        <f t="array" ref="F90">_xlfn.XLOOKUP(C90,customers!$A$1:$A1089,customers!$B$1:$B1089,,0)</f>
        <v>Elna Grise</v>
      </c>
      <c r="G90" s="2" t="str">
        <f>IF(_xlfn.XLOOKUP(C90, customers!$A:$A, customers!$C:$C,,0)=0, "", _xlfn.XLOOKUP(C90, customers!$A:$A, customers!$C:$C,,0))</f>
        <v>egrise2g@cargocollective.com</v>
      </c>
      <c r="H90" s="2" t="str">
        <f>_xlfn.XLOOKUP(C90, customers!$A:$A, customers!$G:$G,,0)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f>INDEX(products!$A$1:$G$49,MATCH(orders!$D90,products!$A$1:$A$49,0),MATCH(orders!L$1,products!$A$1:$G$1,0))</f>
        <v>11.95</v>
      </c>
      <c r="M90">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cm="1">
        <f t="array" ref="F91">_xlfn.XLOOKUP(C91,customers!$A$1:$A1090,customers!$B$1:$B1090,,0)</f>
        <v>Torie Gottelier</v>
      </c>
      <c r="G91" s="2" t="str">
        <f>IF(_xlfn.XLOOKUP(C91, customers!$A:$A, customers!$C:$C,,0)=0, "", _xlfn.XLOOKUP(C91, customers!$A:$A, customers!$C:$C,,0))</f>
        <v>tgottelier2h@vistaprint.com</v>
      </c>
      <c r="H91" s="2" t="str">
        <f>_xlfn.XLOOKUP(C91, customers!$A:$A, customers!$G:$G,,0)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f>INDEX(products!$A$1:$G$49,MATCH(orders!$D91,products!$A$1:$A$49,0),MATCH(orders!L$1,products!$A$1:$G$1,0))</f>
        <v>12.95</v>
      </c>
      <c r="M91">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cm="1">
        <f t="array" ref="F92">_xlfn.XLOOKUP(C92,customers!$A$1:$A1091,customers!$B$1:$B1091,,0)</f>
        <v>Loydie Langlais</v>
      </c>
      <c r="G92" s="2" t="str">
        <f>IF(_xlfn.XLOOKUP(C92, customers!$A:$A, customers!$C:$C,,0)=0, "", _xlfn.XLOOKUP(C92, customers!$A:$A, customers!$C:$C,,0))</f>
        <v/>
      </c>
      <c r="H92" s="2" t="str">
        <f>_xlfn.XLOOKUP(C92, customers!$A:$A, customers!$G:$G,,0)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f>INDEX(products!$A$1:$G$49,MATCH(orders!$D92,products!$A$1:$A$49,0),MATCH(orders!L$1,products!$A$1:$G$1,0))</f>
        <v>12.95</v>
      </c>
      <c r="M92">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cm="1">
        <f t="array" ref="F93">_xlfn.XLOOKUP(C93,customers!$A$1:$A1092,customers!$B$1:$B1092,,0)</f>
        <v>Adham Greenhead</v>
      </c>
      <c r="G93" s="2" t="str">
        <f>IF(_xlfn.XLOOKUP(C93, customers!$A:$A, customers!$C:$C,,0)=0, "", _xlfn.XLOOKUP(C93, customers!$A:$A, customers!$C:$C,,0))</f>
        <v>agreenhead2j@dailymail.co.uk</v>
      </c>
      <c r="H93" s="2" t="str">
        <f>_xlfn.XLOOKUP(C93, customers!$A:$A, customers!$G:$G,,0)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f>INDEX(products!$A$1:$G$49,MATCH(orders!$D93,products!$A$1:$A$49,0),MATCH(orders!L$1,products!$A$1:$G$1,0))</f>
        <v>25.874999999999996</v>
      </c>
      <c r="M93">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cm="1">
        <f t="array" ref="F94">_xlfn.XLOOKUP(C94,customers!$A$1:$A1093,customers!$B$1:$B1093,,0)</f>
        <v>Hamish MacSherry</v>
      </c>
      <c r="G94" s="2" t="str">
        <f>IF(_xlfn.XLOOKUP(C94, customers!$A:$A, customers!$C:$C,,0)=0, "", _xlfn.XLOOKUP(C94, customers!$A:$A, customers!$C:$C,,0))</f>
        <v/>
      </c>
      <c r="H94" s="2" t="str">
        <f>_xlfn.XLOOKUP(C94, customers!$A:$A, customers!$G:$G,,0)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f>INDEX(products!$A$1:$G$49,MATCH(orders!$D94,products!$A$1:$A$49,0),MATCH(orders!L$1,products!$A$1:$G$1,0))</f>
        <v>14.85</v>
      </c>
      <c r="M94">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cm="1">
        <f t="array" ref="F95">_xlfn.XLOOKUP(C95,customers!$A$1:$A1094,customers!$B$1:$B1094,,0)</f>
        <v>Else Langcaster</v>
      </c>
      <c r="G95" s="2" t="str">
        <f>IF(_xlfn.XLOOKUP(C95, customers!$A:$A, customers!$C:$C,,0)=0, "", _xlfn.XLOOKUP(C95, customers!$A:$A, customers!$C:$C,,0))</f>
        <v>elangcaster2l@spotify.com</v>
      </c>
      <c r="H95" s="2" t="str">
        <f>_xlfn.XLOOKUP(C95, customers!$A:$A, customers!$G:$G,,0)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f>INDEX(products!$A$1:$G$49,MATCH(orders!$D95,products!$A$1:$A$49,0),MATCH(orders!L$1,products!$A$1:$G$1,0))</f>
        <v>8.91</v>
      </c>
      <c r="M9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cm="1">
        <f t="array" ref="F96">_xlfn.XLOOKUP(C96,customers!$A$1:$A1095,customers!$B$1:$B1095,,0)</f>
        <v>Rudy Farquharson</v>
      </c>
      <c r="G96" s="2" t="str">
        <f>IF(_xlfn.XLOOKUP(C96, customers!$A:$A, customers!$C:$C,,0)=0, "", _xlfn.XLOOKUP(C96, customers!$A:$A, customers!$C:$C,,0))</f>
        <v/>
      </c>
      <c r="H96" s="2" t="str">
        <f>_xlfn.XLOOKUP(C96, customers!$A:$A, customers!$G:$G,,0)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f>INDEX(products!$A$1:$G$49,MATCH(orders!$D96,products!$A$1:$A$49,0),MATCH(orders!L$1,products!$A$1:$G$1,0))</f>
        <v>2.9849999999999999</v>
      </c>
      <c r="M96">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cm="1">
        <f t="array" ref="F97">_xlfn.XLOOKUP(C97,customers!$A$1:$A1096,customers!$B$1:$B1096,,0)</f>
        <v>Norene Magauran</v>
      </c>
      <c r="G97" s="2" t="str">
        <f>IF(_xlfn.XLOOKUP(C97, customers!$A:$A, customers!$C:$C,,0)=0, "", _xlfn.XLOOKUP(C97, customers!$A:$A, customers!$C:$C,,0))</f>
        <v>nmagauran2n@51.la</v>
      </c>
      <c r="H97" s="2" t="str">
        <f>_xlfn.XLOOKUP(C97, customers!$A:$A, customers!$G:$G,,0)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f>INDEX(products!$A$1:$G$49,MATCH(orders!$D97,products!$A$1:$A$49,0),MATCH(orders!L$1,products!$A$1:$G$1,0))</f>
        <v>25.874999999999996</v>
      </c>
      <c r="M97">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cm="1">
        <f t="array" ref="F98">_xlfn.XLOOKUP(C98,customers!$A$1:$A1097,customers!$B$1:$B1097,,0)</f>
        <v>Vicki Kirdsch</v>
      </c>
      <c r="G98" s="2" t="str">
        <f>IF(_xlfn.XLOOKUP(C98, customers!$A:$A, customers!$C:$C,,0)=0, "", _xlfn.XLOOKUP(C98, customers!$A:$A, customers!$C:$C,,0))</f>
        <v>vkirdsch2o@google.fr</v>
      </c>
      <c r="H98" s="2" t="str">
        <f>_xlfn.XLOOKUP(C98, customers!$A:$A, customers!$G:$G,,0)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f>INDEX(products!$A$1:$G$49,MATCH(orders!$D98,products!$A$1:$A$49,0),MATCH(orders!L$1,products!$A$1:$G$1,0))</f>
        <v>2.9849999999999999</v>
      </c>
      <c r="M98">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cm="1">
        <f t="array" ref="F99">_xlfn.XLOOKUP(C99,customers!$A$1:$A1098,customers!$B$1:$B1098,,0)</f>
        <v>Ilysa Whapple</v>
      </c>
      <c r="G99" s="2" t="str">
        <f>IF(_xlfn.XLOOKUP(C99, customers!$A:$A, customers!$C:$C,,0)=0, "", _xlfn.XLOOKUP(C99, customers!$A:$A, customers!$C:$C,,0))</f>
        <v>iwhapple2p@com.com</v>
      </c>
      <c r="H99" s="2" t="str">
        <f>_xlfn.XLOOKUP(C99, customers!$A:$A, customers!$G:$G,,0)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f>INDEX(products!$A$1:$G$49,MATCH(orders!$D99,products!$A$1:$A$49,0),MATCH(orders!L$1,products!$A$1:$G$1,0))</f>
        <v>6.75</v>
      </c>
      <c r="M99">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cm="1">
        <f t="array" ref="F100">_xlfn.XLOOKUP(C100,customers!$A$1:$A1099,customers!$B$1:$B1099,,0)</f>
        <v>Ruy Cancellieri</v>
      </c>
      <c r="G100" s="2" t="str">
        <f>IF(_xlfn.XLOOKUP(C100, customers!$A:$A, customers!$C:$C,,0)=0, "", _xlfn.XLOOKUP(C100, customers!$A:$A, customers!$C:$C,,0))</f>
        <v/>
      </c>
      <c r="H100" s="2" t="str">
        <f>_xlfn.XLOOKUP(C100, customers!$A:$A, customers!$G:$G,,0)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f>INDEX(products!$A$1:$G$49,MATCH(orders!$D100,products!$A$1:$A$49,0),MATCH(orders!L$1,products!$A$1:$G$1,0))</f>
        <v>2.9849999999999999</v>
      </c>
      <c r="M100">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cm="1">
        <f t="array" ref="F101">_xlfn.XLOOKUP(C101,customers!$A$1:$A1100,customers!$B$1:$B1100,,0)</f>
        <v>Aube Follett</v>
      </c>
      <c r="G101" s="2" t="str">
        <f>IF(_xlfn.XLOOKUP(C101, customers!$A:$A, customers!$C:$C,,0)=0, "", _xlfn.XLOOKUP(C101, customers!$A:$A, customers!$C:$C,,0))</f>
        <v/>
      </c>
      <c r="H101" s="2" t="str">
        <f>_xlfn.XLOOKUP(C101, customers!$A:$A, customers!$G:$G,,0)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f>INDEX(products!$A$1:$G$49,MATCH(orders!$D101,products!$A$1:$A$49,0),MATCH(orders!L$1,products!$A$1:$G$1,0))</f>
        <v>4.3650000000000002</v>
      </c>
      <c r="M101">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cm="1">
        <f t="array" ref="F102">_xlfn.XLOOKUP(C102,customers!$A$1:$A1101,customers!$B$1:$B1101,,0)</f>
        <v>Rudiger Di Bartolomeo</v>
      </c>
      <c r="G102" s="2" t="str">
        <f>IF(_xlfn.XLOOKUP(C102, customers!$A:$A, customers!$C:$C,,0)=0, "", _xlfn.XLOOKUP(C102, customers!$A:$A, customers!$C:$C,,0))</f>
        <v/>
      </c>
      <c r="H102" s="2" t="str">
        <f>_xlfn.XLOOKUP(C102, customers!$A:$A, customers!$G:$G,,0)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f>INDEX(products!$A$1:$G$49,MATCH(orders!$D102,products!$A$1:$A$49,0),MATCH(orders!L$1,products!$A$1:$G$1,0))</f>
        <v>3.8849999999999998</v>
      </c>
      <c r="M102">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cm="1">
        <f t="array" ref="F103">_xlfn.XLOOKUP(C103,customers!$A$1:$A1102,customers!$B$1:$B1102,,0)</f>
        <v>Nickey Youles</v>
      </c>
      <c r="G103" s="2" t="str">
        <f>IF(_xlfn.XLOOKUP(C103, customers!$A:$A, customers!$C:$C,,0)=0, "", _xlfn.XLOOKUP(C103, customers!$A:$A, customers!$C:$C,,0))</f>
        <v>nyoules2t@reference.com</v>
      </c>
      <c r="H103" s="2" t="str">
        <f>_xlfn.XLOOKUP(C103, customers!$A:$A, customers!$G:$G,,0)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f>INDEX(products!$A$1:$G$49,MATCH(orders!$D103,products!$A$1:$A$49,0),MATCH(orders!L$1,products!$A$1:$G$1,0))</f>
        <v>29.784999999999997</v>
      </c>
      <c r="M103">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cm="1">
        <f t="array" ref="F104">_xlfn.XLOOKUP(C104,customers!$A$1:$A1103,customers!$B$1:$B1103,,0)</f>
        <v>Dyanna Aizikovitz</v>
      </c>
      <c r="G104" s="2" t="str">
        <f>IF(_xlfn.XLOOKUP(C104, customers!$A:$A, customers!$C:$C,,0)=0, "", _xlfn.XLOOKUP(C104, customers!$A:$A, customers!$C:$C,,0))</f>
        <v>daizikovitz2u@answers.com</v>
      </c>
      <c r="H104" s="2" t="str">
        <f>_xlfn.XLOOKUP(C104, customers!$A:$A, customers!$G:$G,,0)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f>INDEX(products!$A$1:$G$49,MATCH(orders!$D104,products!$A$1:$A$49,0),MATCH(orders!L$1,products!$A$1:$G$1,0))</f>
        <v>12.95</v>
      </c>
      <c r="M104">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cm="1">
        <f t="array" ref="F105">_xlfn.XLOOKUP(C105,customers!$A$1:$A1104,customers!$B$1:$B1104,,0)</f>
        <v>Bram Revel</v>
      </c>
      <c r="G105" s="2" t="str">
        <f>IF(_xlfn.XLOOKUP(C105, customers!$A:$A, customers!$C:$C,,0)=0, "", _xlfn.XLOOKUP(C105, customers!$A:$A, customers!$C:$C,,0))</f>
        <v>brevel2v@fastcompany.com</v>
      </c>
      <c r="H105" s="2" t="str">
        <f>_xlfn.XLOOKUP(C105, customers!$A:$A, customers!$G:$G,,0)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f>INDEX(products!$A$1:$G$49,MATCH(orders!$D105,products!$A$1:$A$49,0),MATCH(orders!L$1,products!$A$1:$G$1,0))</f>
        <v>2.9849999999999999</v>
      </c>
      <c r="M10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cm="1">
        <f t="array" ref="F106">_xlfn.XLOOKUP(C106,customers!$A$1:$A1105,customers!$B$1:$B1105,,0)</f>
        <v>Emiline Priddis</v>
      </c>
      <c r="G106" s="2" t="str">
        <f>IF(_xlfn.XLOOKUP(C106, customers!$A:$A, customers!$C:$C,,0)=0, "", _xlfn.XLOOKUP(C106, customers!$A:$A, customers!$C:$C,,0))</f>
        <v>epriddis2w@nationalgeographic.com</v>
      </c>
      <c r="H106" s="2" t="str">
        <f>_xlfn.XLOOKUP(C106, customers!$A:$A, customers!$G:$G,,0)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f>INDEX(products!$A$1:$G$49,MATCH(orders!$D106,products!$A$1:$A$49,0),MATCH(orders!L$1,products!$A$1:$G$1,0))</f>
        <v>14.55</v>
      </c>
      <c r="M106">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cm="1">
        <f t="array" ref="F107">_xlfn.XLOOKUP(C107,customers!$A$1:$A1106,customers!$B$1:$B1106,,0)</f>
        <v>Queenie Veel</v>
      </c>
      <c r="G107" s="2" t="str">
        <f>IF(_xlfn.XLOOKUP(C107, customers!$A:$A, customers!$C:$C,,0)=0, "", _xlfn.XLOOKUP(C107, customers!$A:$A, customers!$C:$C,,0))</f>
        <v>qveel2x@jugem.jp</v>
      </c>
      <c r="H107" s="2" t="str">
        <f>_xlfn.XLOOKUP(C107, customers!$A:$A, customers!$G:$G,,0)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f>INDEX(products!$A$1:$G$49,MATCH(orders!$D107,products!$A$1:$A$49,0),MATCH(orders!L$1,products!$A$1:$G$1,0))</f>
        <v>6.75</v>
      </c>
      <c r="M107">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cm="1">
        <f t="array" ref="F108">_xlfn.XLOOKUP(C108,customers!$A$1:$A1107,customers!$B$1:$B1107,,0)</f>
        <v>Lind Conyers</v>
      </c>
      <c r="G108" s="2" t="str">
        <f>IF(_xlfn.XLOOKUP(C108, customers!$A:$A, customers!$C:$C,,0)=0, "", _xlfn.XLOOKUP(C108, customers!$A:$A, customers!$C:$C,,0))</f>
        <v>lconyers2y@twitter.com</v>
      </c>
      <c r="H108" s="2" t="str">
        <f>_xlfn.XLOOKUP(C108, customers!$A:$A, customers!$G:$G,,0)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f>INDEX(products!$A$1:$G$49,MATCH(orders!$D108,products!$A$1:$A$49,0),MATCH(orders!L$1,products!$A$1:$G$1,0))</f>
        <v>12.15</v>
      </c>
      <c r="M108">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cm="1">
        <f t="array" ref="F109">_xlfn.XLOOKUP(C109,customers!$A$1:$A1108,customers!$B$1:$B1108,,0)</f>
        <v>Pen Wye</v>
      </c>
      <c r="G109" s="2" t="str">
        <f>IF(_xlfn.XLOOKUP(C109, customers!$A:$A, customers!$C:$C,,0)=0, "", _xlfn.XLOOKUP(C109, customers!$A:$A, customers!$C:$C,,0))</f>
        <v>pwye2z@dagondesign.com</v>
      </c>
      <c r="H109" s="2" t="str">
        <f>_xlfn.XLOOKUP(C109, customers!$A:$A, customers!$G:$G,,0)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f>INDEX(products!$A$1:$G$49,MATCH(orders!$D109,products!$A$1:$A$49,0),MATCH(orders!L$1,products!$A$1:$G$1,0))</f>
        <v>5.97</v>
      </c>
      <c r="M109">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cm="1">
        <f t="array" ref="F110">_xlfn.XLOOKUP(C110,customers!$A$1:$A1109,customers!$B$1:$B1109,,0)</f>
        <v>Isahella Hagland</v>
      </c>
      <c r="G110" s="2" t="str">
        <f>IF(_xlfn.XLOOKUP(C110, customers!$A:$A, customers!$C:$C,,0)=0, "", _xlfn.XLOOKUP(C110, customers!$A:$A, customers!$C:$C,,0))</f>
        <v/>
      </c>
      <c r="H110" s="2" t="str">
        <f>_xlfn.XLOOKUP(C110, customers!$A:$A, customers!$G:$G,,0)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f>INDEX(products!$A$1:$G$49,MATCH(orders!$D110,products!$A$1:$A$49,0),MATCH(orders!L$1,products!$A$1:$G$1,0))</f>
        <v>6.75</v>
      </c>
      <c r="M110">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cm="1">
        <f t="array" ref="F111">_xlfn.XLOOKUP(C111,customers!$A$1:$A1110,customers!$B$1:$B1110,,0)</f>
        <v>Terry Sheryn</v>
      </c>
      <c r="G111" s="2" t="str">
        <f>IF(_xlfn.XLOOKUP(C111, customers!$A:$A, customers!$C:$C,,0)=0, "", _xlfn.XLOOKUP(C111, customers!$A:$A, customers!$C:$C,,0))</f>
        <v>tsheryn31@mtv.com</v>
      </c>
      <c r="H111" s="2" t="str">
        <f>_xlfn.XLOOKUP(C111, customers!$A:$A, customers!$G:$G,,0)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f>INDEX(products!$A$1:$G$49,MATCH(orders!$D111,products!$A$1:$A$49,0),MATCH(orders!L$1,products!$A$1:$G$1,0))</f>
        <v>7.77</v>
      </c>
      <c r="M111">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cm="1">
        <f t="array" ref="F112">_xlfn.XLOOKUP(C112,customers!$A$1:$A1111,customers!$B$1:$B1111,,0)</f>
        <v>Marie-jeanne Redgrave</v>
      </c>
      <c r="G112" s="2" t="str">
        <f>IF(_xlfn.XLOOKUP(C112, customers!$A:$A, customers!$C:$C,,0)=0, "", _xlfn.XLOOKUP(C112, customers!$A:$A, customers!$C:$C,,0))</f>
        <v>mredgrave32@cargocollective.com</v>
      </c>
      <c r="H112" s="2" t="str">
        <f>_xlfn.XLOOKUP(C112, customers!$A:$A, customers!$G:$G,,0)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f>INDEX(products!$A$1:$G$49,MATCH(orders!$D112,products!$A$1:$A$49,0),MATCH(orders!L$1,products!$A$1:$G$1,0))</f>
        <v>4.4550000000000001</v>
      </c>
      <c r="M112">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cm="1">
        <f t="array" ref="F113">_xlfn.XLOOKUP(C113,customers!$A$1:$A1112,customers!$B$1:$B1112,,0)</f>
        <v>Betty Fominov</v>
      </c>
      <c r="G113" s="2" t="str">
        <f>IF(_xlfn.XLOOKUP(C113, customers!$A:$A, customers!$C:$C,,0)=0, "", _xlfn.XLOOKUP(C113, customers!$A:$A, customers!$C:$C,,0))</f>
        <v>bfominov33@yale.edu</v>
      </c>
      <c r="H113" s="2" t="str">
        <f>_xlfn.XLOOKUP(C113, customers!$A:$A, customers!$G:$G,,0)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f>INDEX(products!$A$1:$G$49,MATCH(orders!$D113,products!$A$1:$A$49,0),MATCH(orders!L$1,products!$A$1:$G$1,0))</f>
        <v>5.3699999999999992</v>
      </c>
      <c r="M113">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cm="1">
        <f t="array" ref="F114">_xlfn.XLOOKUP(C114,customers!$A$1:$A1113,customers!$B$1:$B1113,,0)</f>
        <v>Shawnee Critchlow</v>
      </c>
      <c r="G114" s="2" t="str">
        <f>IF(_xlfn.XLOOKUP(C114, customers!$A:$A, customers!$C:$C,,0)=0, "", _xlfn.XLOOKUP(C114, customers!$A:$A, customers!$C:$C,,0))</f>
        <v>scritchlow34@un.org</v>
      </c>
      <c r="H114" s="2" t="str">
        <f>_xlfn.XLOOKUP(C114, customers!$A:$A, customers!$G:$G,,0)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f>INDEX(products!$A$1:$G$49,MATCH(orders!$D114,products!$A$1:$A$49,0),MATCH(orders!L$1,products!$A$1:$G$1,0))</f>
        <v>11.25</v>
      </c>
      <c r="M114">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cm="1">
        <f t="array" ref="F115">_xlfn.XLOOKUP(C115,customers!$A$1:$A1114,customers!$B$1:$B1114,,0)</f>
        <v>Merrel Steptow</v>
      </c>
      <c r="G115" s="2" t="str">
        <f>IF(_xlfn.XLOOKUP(C115, customers!$A:$A, customers!$C:$C,,0)=0, "", _xlfn.XLOOKUP(C115, customers!$A:$A, customers!$C:$C,,0))</f>
        <v>msteptow35@earthlink.net</v>
      </c>
      <c r="H115" s="2" t="str">
        <f>_xlfn.XLOOKUP(C115, customers!$A:$A, customers!$G:$G,,0)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f>INDEX(products!$A$1:$G$49,MATCH(orders!$D115,products!$A$1:$A$49,0),MATCH(orders!L$1,products!$A$1:$G$1,0))</f>
        <v>14.55</v>
      </c>
      <c r="M11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cm="1">
        <f t="array" ref="F116">_xlfn.XLOOKUP(C116,customers!$A$1:$A1115,customers!$B$1:$B1115,,0)</f>
        <v>Carmina Hubbuck</v>
      </c>
      <c r="G116" s="2" t="str">
        <f>IF(_xlfn.XLOOKUP(C116, customers!$A:$A, customers!$C:$C,,0)=0, "", _xlfn.XLOOKUP(C116, customers!$A:$A, customers!$C:$C,,0))</f>
        <v/>
      </c>
      <c r="H116" s="2" t="str">
        <f>_xlfn.XLOOKUP(C116, customers!$A:$A, customers!$G:$G,,0)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f>INDEX(products!$A$1:$G$49,MATCH(orders!$D116,products!$A$1:$A$49,0),MATCH(orders!L$1,products!$A$1:$G$1,0))</f>
        <v>3.5849999999999995</v>
      </c>
      <c r="M116">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cm="1">
        <f t="array" ref="F117">_xlfn.XLOOKUP(C117,customers!$A$1:$A1116,customers!$B$1:$B1116,,0)</f>
        <v>Ingeberg Mulliner</v>
      </c>
      <c r="G117" s="2" t="str">
        <f>IF(_xlfn.XLOOKUP(C117, customers!$A:$A, customers!$C:$C,,0)=0, "", _xlfn.XLOOKUP(C117, customers!$A:$A, customers!$C:$C,,0))</f>
        <v>imulliner37@pinterest.com</v>
      </c>
      <c r="H117" s="2" t="str">
        <f>_xlfn.XLOOKUP(C117, customers!$A:$A, customers!$G:$G,,0)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f>INDEX(products!$A$1:$G$49,MATCH(orders!$D117,products!$A$1:$A$49,0),MATCH(orders!L$1,products!$A$1:$G$1,0))</f>
        <v>15.85</v>
      </c>
      <c r="M117">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cm="1">
        <f t="array" ref="F118">_xlfn.XLOOKUP(C118,customers!$A$1:$A1117,customers!$B$1:$B1117,,0)</f>
        <v>Geneva Standley</v>
      </c>
      <c r="G118" s="2" t="str">
        <f>IF(_xlfn.XLOOKUP(C118, customers!$A:$A, customers!$C:$C,,0)=0, "", _xlfn.XLOOKUP(C118, customers!$A:$A, customers!$C:$C,,0))</f>
        <v>gstandley38@dion.ne.jp</v>
      </c>
      <c r="H118" s="2" t="str">
        <f>_xlfn.XLOOKUP(C118, customers!$A:$A, customers!$G:$G,,0)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f>INDEX(products!$A$1:$G$49,MATCH(orders!$D118,products!$A$1:$A$49,0),MATCH(orders!L$1,products!$A$1:$G$1,0))</f>
        <v>4.7549999999999999</v>
      </c>
      <c r="M118">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cm="1">
        <f t="array" ref="F119">_xlfn.XLOOKUP(C119,customers!$A$1:$A1118,customers!$B$1:$B1118,,0)</f>
        <v>Brook Drage</v>
      </c>
      <c r="G119" s="2" t="str">
        <f>IF(_xlfn.XLOOKUP(C119, customers!$A:$A, customers!$C:$C,,0)=0, "", _xlfn.XLOOKUP(C119, customers!$A:$A, customers!$C:$C,,0))</f>
        <v>bdrage39@youku.com</v>
      </c>
      <c r="H119" s="2" t="str">
        <f>_xlfn.XLOOKUP(C119, customers!$A:$A, customers!$G:$G,,0)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f>INDEX(products!$A$1:$G$49,MATCH(orders!$D119,products!$A$1:$A$49,0),MATCH(orders!L$1,products!$A$1:$G$1,0))</f>
        <v>9.51</v>
      </c>
      <c r="M119">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cm="1">
        <f t="array" ref="F120">_xlfn.XLOOKUP(C120,customers!$A$1:$A1119,customers!$B$1:$B1119,,0)</f>
        <v>Muffin Yallop</v>
      </c>
      <c r="G120" s="2" t="str">
        <f>IF(_xlfn.XLOOKUP(C120, customers!$A:$A, customers!$C:$C,,0)=0, "", _xlfn.XLOOKUP(C120, customers!$A:$A, customers!$C:$C,,0))</f>
        <v>myallop3a@fema.gov</v>
      </c>
      <c r="H120" s="2" t="str">
        <f>_xlfn.XLOOKUP(C120, customers!$A:$A, customers!$G:$G,,0)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f>INDEX(products!$A$1:$G$49,MATCH(orders!$D120,products!$A$1:$A$49,0),MATCH(orders!L$1,products!$A$1:$G$1,0))</f>
        <v>7.29</v>
      </c>
      <c r="M120">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cm="1">
        <f t="array" ref="F121">_xlfn.XLOOKUP(C121,customers!$A$1:$A1120,customers!$B$1:$B1120,,0)</f>
        <v>Cordi Switsur</v>
      </c>
      <c r="G121" s="2" t="str">
        <f>IF(_xlfn.XLOOKUP(C121, customers!$A:$A, customers!$C:$C,,0)=0, "", _xlfn.XLOOKUP(C121, customers!$A:$A, customers!$C:$C,,0))</f>
        <v>cswitsur3b@chronoengine.com</v>
      </c>
      <c r="H121" s="2" t="str">
        <f>_xlfn.XLOOKUP(C121, customers!$A:$A, customers!$G:$G,,0)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f>INDEX(products!$A$1:$G$49,MATCH(orders!$D121,products!$A$1:$A$49,0),MATCH(orders!L$1,products!$A$1:$G$1,0))</f>
        <v>4.125</v>
      </c>
      <c r="M121">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cm="1">
        <f t="array" ref="F122">_xlfn.XLOOKUP(C122,customers!$A$1:$A1121,customers!$B$1:$B1121,,0)</f>
        <v>Cordi Switsur</v>
      </c>
      <c r="G122" s="2" t="str">
        <f>IF(_xlfn.XLOOKUP(C122, customers!$A:$A, customers!$C:$C,,0)=0, "", _xlfn.XLOOKUP(C122, customers!$A:$A, customers!$C:$C,,0))</f>
        <v>cswitsur3b@chronoengine.com</v>
      </c>
      <c r="H122" s="2" t="str">
        <f>_xlfn.XLOOKUP(C122, customers!$A:$A, customers!$G:$G,,0)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f>INDEX(products!$A$1:$G$49,MATCH(orders!$D122,products!$A$1:$A$49,0),MATCH(orders!L$1,products!$A$1:$G$1,0))</f>
        <v>3.8849999999999998</v>
      </c>
      <c r="M122">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cm="1">
        <f t="array" ref="F123">_xlfn.XLOOKUP(C123,customers!$A$1:$A1122,customers!$B$1:$B1122,,0)</f>
        <v>Cordi Switsur</v>
      </c>
      <c r="G123" s="2" t="str">
        <f>IF(_xlfn.XLOOKUP(C123, customers!$A:$A, customers!$C:$C,,0)=0, "", _xlfn.XLOOKUP(C123, customers!$A:$A, customers!$C:$C,,0))</f>
        <v>cswitsur3b@chronoengine.com</v>
      </c>
      <c r="H123" s="2" t="str">
        <f>_xlfn.XLOOKUP(C123, customers!$A:$A, customers!$G:$G,,0)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f>INDEX(products!$A$1:$G$49,MATCH(orders!$D123,products!$A$1:$A$49,0),MATCH(orders!L$1,products!$A$1:$G$1,0))</f>
        <v>13.75</v>
      </c>
      <c r="M123">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cm="1">
        <f t="array" ref="F124">_xlfn.XLOOKUP(C124,customers!$A$1:$A1123,customers!$B$1:$B1123,,0)</f>
        <v>Mahala Ludwell</v>
      </c>
      <c r="G124" s="2" t="str">
        <f>IF(_xlfn.XLOOKUP(C124, customers!$A:$A, customers!$C:$C,,0)=0, "", _xlfn.XLOOKUP(C124, customers!$A:$A, customers!$C:$C,,0))</f>
        <v>mludwell3e@blogger.com</v>
      </c>
      <c r="H124" s="2" t="str">
        <f>_xlfn.XLOOKUP(C124, customers!$A:$A, customers!$G:$G,,0)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f>INDEX(products!$A$1:$G$49,MATCH(orders!$D124,products!$A$1:$A$49,0),MATCH(orders!L$1,products!$A$1:$G$1,0))</f>
        <v>5.97</v>
      </c>
      <c r="M124">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cm="1">
        <f t="array" ref="F125">_xlfn.XLOOKUP(C125,customers!$A$1:$A1124,customers!$B$1:$B1124,,0)</f>
        <v>Doll Beauchamp</v>
      </c>
      <c r="G125" s="2" t="str">
        <f>IF(_xlfn.XLOOKUP(C125, customers!$A:$A, customers!$C:$C,,0)=0, "", _xlfn.XLOOKUP(C125, customers!$A:$A, customers!$C:$C,,0))</f>
        <v>dbeauchamp3f@usda.gov</v>
      </c>
      <c r="H125" s="2" t="str">
        <f>_xlfn.XLOOKUP(C125, customers!$A:$A, customers!$G:$G,,0)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f>INDEX(products!$A$1:$G$49,MATCH(orders!$D125,products!$A$1:$A$49,0),MATCH(orders!L$1,products!$A$1:$G$1,0))</f>
        <v>36.454999999999998</v>
      </c>
      <c r="M12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cm="1">
        <f t="array" ref="F126">_xlfn.XLOOKUP(C126,customers!$A$1:$A1125,customers!$B$1:$B1125,,0)</f>
        <v>Stanford Rodliff</v>
      </c>
      <c r="G126" s="2" t="str">
        <f>IF(_xlfn.XLOOKUP(C126, customers!$A:$A, customers!$C:$C,,0)=0, "", _xlfn.XLOOKUP(C126, customers!$A:$A, customers!$C:$C,,0))</f>
        <v>srodliff3g@ted.com</v>
      </c>
      <c r="H126" s="2" t="str">
        <f>_xlfn.XLOOKUP(C126, customers!$A:$A, customers!$G:$G,,0)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f>INDEX(products!$A$1:$G$49,MATCH(orders!$D126,products!$A$1:$A$49,0),MATCH(orders!L$1,products!$A$1:$G$1,0))</f>
        <v>4.3650000000000002</v>
      </c>
      <c r="M126">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cm="1">
        <f t="array" ref="F127">_xlfn.XLOOKUP(C127,customers!$A$1:$A1126,customers!$B$1:$B1126,,0)</f>
        <v>Stevana Woodham</v>
      </c>
      <c r="G127" s="2" t="str">
        <f>IF(_xlfn.XLOOKUP(C127, customers!$A:$A, customers!$C:$C,,0)=0, "", _xlfn.XLOOKUP(C127, customers!$A:$A, customers!$C:$C,,0))</f>
        <v>swoodham3h@businesswire.com</v>
      </c>
      <c r="H127" s="2" t="str">
        <f>_xlfn.XLOOKUP(C127, customers!$A:$A, customers!$G:$G,,0)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f>INDEX(products!$A$1:$G$49,MATCH(orders!$D127,products!$A$1:$A$49,0),MATCH(orders!L$1,products!$A$1:$G$1,0))</f>
        <v>8.73</v>
      </c>
      <c r="M127">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cm="1">
        <f t="array" ref="F128">_xlfn.XLOOKUP(C128,customers!$A$1:$A1127,customers!$B$1:$B1127,,0)</f>
        <v>Hewet Synnot</v>
      </c>
      <c r="G128" s="2" t="str">
        <f>IF(_xlfn.XLOOKUP(C128, customers!$A:$A, customers!$C:$C,,0)=0, "", _xlfn.XLOOKUP(C128, customers!$A:$A, customers!$C:$C,,0))</f>
        <v>hsynnot3i@about.com</v>
      </c>
      <c r="H128" s="2" t="str">
        <f>_xlfn.XLOOKUP(C128, customers!$A:$A, customers!$G:$G,,0)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f>INDEX(products!$A$1:$G$49,MATCH(orders!$D128,products!$A$1:$A$49,0),MATCH(orders!L$1,products!$A$1:$G$1,0))</f>
        <v>11.25</v>
      </c>
      <c r="M128">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cm="1">
        <f t="array" ref="F129">_xlfn.XLOOKUP(C129,customers!$A$1:$A1128,customers!$B$1:$B1128,,0)</f>
        <v>Raleigh Lepere</v>
      </c>
      <c r="G129" s="2" t="str">
        <f>IF(_xlfn.XLOOKUP(C129, customers!$A:$A, customers!$C:$C,,0)=0, "", _xlfn.XLOOKUP(C129, customers!$A:$A, customers!$C:$C,,0))</f>
        <v>rlepere3j@shop-pro.jp</v>
      </c>
      <c r="H129" s="2" t="str">
        <f>_xlfn.XLOOKUP(C129, customers!$A:$A, customers!$G:$G,,0)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f>INDEX(products!$A$1:$G$49,MATCH(orders!$D129,products!$A$1:$A$49,0),MATCH(orders!L$1,products!$A$1:$G$1,0))</f>
        <v>12.95</v>
      </c>
      <c r="M129">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cm="1">
        <f t="array" ref="F130">_xlfn.XLOOKUP(C130,customers!$A$1:$A1129,customers!$B$1:$B1129,,0)</f>
        <v>Timofei Woofinden</v>
      </c>
      <c r="G130" s="2" t="str">
        <f>IF(_xlfn.XLOOKUP(C130, customers!$A:$A, customers!$C:$C,,0)=0, "", _xlfn.XLOOKUP(C130, customers!$A:$A, customers!$C:$C,,0))</f>
        <v>twoofinden3k@businesswire.com</v>
      </c>
      <c r="H130" s="2" t="str">
        <f>_xlfn.XLOOKUP(C130, customers!$A:$A, customers!$G:$G,,0)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f>INDEX(products!$A$1:$G$49,MATCH(orders!$D130,products!$A$1:$A$49,0),MATCH(orders!L$1,products!$A$1:$G$1,0))</f>
        <v>6.75</v>
      </c>
      <c r="M130">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cm="1">
        <f t="array" ref="F131">_xlfn.XLOOKUP(C131,customers!$A$1:$A1130,customers!$B$1:$B1130,,0)</f>
        <v>Evelina Dacca</v>
      </c>
      <c r="G131" s="2" t="str">
        <f>IF(_xlfn.XLOOKUP(C131, customers!$A:$A, customers!$C:$C,,0)=0, "", _xlfn.XLOOKUP(C131, customers!$A:$A, customers!$C:$C,,0))</f>
        <v>edacca3l@google.pl</v>
      </c>
      <c r="H131" s="2" t="str">
        <f>_xlfn.XLOOKUP(C131, customers!$A:$A, customers!$G:$G,,0)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f>INDEX(products!$A$1:$G$49,MATCH(orders!$D131,products!$A$1:$A$49,0),MATCH(orders!L$1,products!$A$1:$G$1,0))</f>
        <v>12.15</v>
      </c>
      <c r="M131">
        <f t="shared" ref="M131:M194" si="6">L131*E131</f>
        <v>12.15</v>
      </c>
      <c r="N131" t="str">
        <f t="shared" ref="N131:N194" si="7">IF(I131="Rob", "Robusta", IF(I131="Exc","Excelsa",IF(I131="Ara","Arabica", 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cm="1">
        <f t="array" ref="F132">_xlfn.XLOOKUP(C132,customers!$A$1:$A1131,customers!$B$1:$B1131,,0)</f>
        <v>Bidget Tremellier</v>
      </c>
      <c r="G132" s="2" t="str">
        <f>IF(_xlfn.XLOOKUP(C132, customers!$A:$A, customers!$C:$C,,0)=0, "", _xlfn.XLOOKUP(C132, customers!$A:$A, customers!$C:$C,,0))</f>
        <v/>
      </c>
      <c r="H132" s="2" t="str">
        <f>_xlfn.XLOOKUP(C132, customers!$A:$A, customers!$G:$G,,0)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f>INDEX(products!$A$1:$G$49,MATCH(orders!$D132,products!$A$1:$A$49,0),MATCH(orders!L$1,products!$A$1:$G$1,0))</f>
        <v>29.784999999999997</v>
      </c>
      <c r="M132">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cm="1">
        <f t="array" ref="F133">_xlfn.XLOOKUP(C133,customers!$A$1:$A1132,customers!$B$1:$B1132,,0)</f>
        <v>Bobinette Hindsberg</v>
      </c>
      <c r="G133" s="2" t="str">
        <f>IF(_xlfn.XLOOKUP(C133, customers!$A:$A, customers!$C:$C,,0)=0, "", _xlfn.XLOOKUP(C133, customers!$A:$A, customers!$C:$C,,0))</f>
        <v>bhindsberg3n@blogs.com</v>
      </c>
      <c r="H133" s="2" t="str">
        <f>_xlfn.XLOOKUP(C133, customers!$A:$A, customers!$G:$G,,0)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f>INDEX(products!$A$1:$G$49,MATCH(orders!$D133,products!$A$1:$A$49,0),MATCH(orders!L$1,products!$A$1:$G$1,0))</f>
        <v>7.29</v>
      </c>
      <c r="M133">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cm="1">
        <f t="array" ref="F134">_xlfn.XLOOKUP(C134,customers!$A$1:$A1133,customers!$B$1:$B1133,,0)</f>
        <v>Osbert Robins</v>
      </c>
      <c r="G134" s="2" t="str">
        <f>IF(_xlfn.XLOOKUP(C134, customers!$A:$A, customers!$C:$C,,0)=0, "", _xlfn.XLOOKUP(C134, customers!$A:$A, customers!$C:$C,,0))</f>
        <v>orobins3o@salon.com</v>
      </c>
      <c r="H134" s="2" t="str">
        <f>_xlfn.XLOOKUP(C134, customers!$A:$A, customers!$G:$G,,0)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f>INDEX(products!$A$1:$G$49,MATCH(orders!$D134,products!$A$1:$A$49,0),MATCH(orders!L$1,products!$A$1:$G$1,0))</f>
        <v>29.784999999999997</v>
      </c>
      <c r="M134">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cm="1">
        <f t="array" ref="F135">_xlfn.XLOOKUP(C135,customers!$A$1:$A1134,customers!$B$1:$B1134,,0)</f>
        <v>Othello Syseland</v>
      </c>
      <c r="G135" s="2" t="str">
        <f>IF(_xlfn.XLOOKUP(C135, customers!$A:$A, customers!$C:$C,,0)=0, "", _xlfn.XLOOKUP(C135, customers!$A:$A, customers!$C:$C,,0))</f>
        <v>osyseland3p@independent.co.uk</v>
      </c>
      <c r="H135" s="2" t="str">
        <f>_xlfn.XLOOKUP(C135, customers!$A:$A, customers!$G:$G,,0)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f>INDEX(products!$A$1:$G$49,MATCH(orders!$D135,products!$A$1:$A$49,0),MATCH(orders!L$1,products!$A$1:$G$1,0))</f>
        <v>12.95</v>
      </c>
      <c r="M13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cm="1">
        <f t="array" ref="F136">_xlfn.XLOOKUP(C136,customers!$A$1:$A1135,customers!$B$1:$B1135,,0)</f>
        <v>Ewell Hanby</v>
      </c>
      <c r="G136" s="2" t="str">
        <f>IF(_xlfn.XLOOKUP(C136, customers!$A:$A, customers!$C:$C,,0)=0, "", _xlfn.XLOOKUP(C136, customers!$A:$A, customers!$C:$C,,0))</f>
        <v/>
      </c>
      <c r="H136" s="2" t="str">
        <f>_xlfn.XLOOKUP(C136, customers!$A:$A, customers!$G:$G,,0)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f>INDEX(products!$A$1:$G$49,MATCH(orders!$D136,products!$A$1:$A$49,0),MATCH(orders!L$1,products!$A$1:$G$1,0))</f>
        <v>31.624999999999996</v>
      </c>
      <c r="M136">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cm="1">
        <f t="array" ref="F137">_xlfn.XLOOKUP(C137,customers!$A$1:$A1136,customers!$B$1:$B1136,,0)</f>
        <v>Blancha McAmish</v>
      </c>
      <c r="G137" s="2" t="str">
        <f>IF(_xlfn.XLOOKUP(C137, customers!$A:$A, customers!$C:$C,,0)=0, "", _xlfn.XLOOKUP(C137, customers!$A:$A, customers!$C:$C,,0))</f>
        <v>bmcamish2e@tripadvisor.com</v>
      </c>
      <c r="H137" s="2" t="str">
        <f>_xlfn.XLOOKUP(C137, customers!$A:$A, customers!$G:$G,,0)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f>INDEX(products!$A$1:$G$49,MATCH(orders!$D137,products!$A$1:$A$49,0),MATCH(orders!L$1,products!$A$1:$G$1,0))</f>
        <v>7.77</v>
      </c>
      <c r="M137">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cm="1">
        <f t="array" ref="F138">_xlfn.XLOOKUP(C138,customers!$A$1:$A1137,customers!$B$1:$B1137,,0)</f>
        <v>Lowell Keenleyside</v>
      </c>
      <c r="G138" s="2" t="str">
        <f>IF(_xlfn.XLOOKUP(C138, customers!$A:$A, customers!$C:$C,,0)=0, "", _xlfn.XLOOKUP(C138, customers!$A:$A, customers!$C:$C,,0))</f>
        <v>lkeenleyside3s@topsy.com</v>
      </c>
      <c r="H138" s="2" t="str">
        <f>_xlfn.XLOOKUP(C138, customers!$A:$A, customers!$G:$G,,0)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f>INDEX(products!$A$1:$G$49,MATCH(orders!$D138,products!$A$1:$A$49,0),MATCH(orders!L$1,products!$A$1:$G$1,0))</f>
        <v>2.9849999999999999</v>
      </c>
      <c r="M138">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cm="1">
        <f t="array" ref="F139">_xlfn.XLOOKUP(C139,customers!$A$1:$A1138,customers!$B$1:$B1138,,0)</f>
        <v>Elonore Joliffe</v>
      </c>
      <c r="G139" s="2" t="str">
        <f>IF(_xlfn.XLOOKUP(C139, customers!$A:$A, customers!$C:$C,,0)=0, "", _xlfn.XLOOKUP(C139, customers!$A:$A, customers!$C:$C,,0))</f>
        <v/>
      </c>
      <c r="H139" s="2" t="str">
        <f>_xlfn.XLOOKUP(C139, customers!$A:$A, customers!$G:$G,,0)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f>INDEX(products!$A$1:$G$49,MATCH(orders!$D139,products!$A$1:$A$49,0),MATCH(orders!L$1,products!$A$1:$G$1,0))</f>
        <v>34.154999999999994</v>
      </c>
      <c r="M139">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cm="1">
        <f t="array" ref="F140">_xlfn.XLOOKUP(C140,customers!$A$1:$A1139,customers!$B$1:$B1139,,0)</f>
        <v>Abraham Coleman</v>
      </c>
      <c r="G140" s="2" t="str">
        <f>IF(_xlfn.XLOOKUP(C140, customers!$A:$A, customers!$C:$C,,0)=0, "", _xlfn.XLOOKUP(C140, customers!$A:$A, customers!$C:$C,,0))</f>
        <v/>
      </c>
      <c r="H140" s="2" t="str">
        <f>_xlfn.XLOOKUP(C140, customers!$A:$A, customers!$G:$G,,0)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f>INDEX(products!$A$1:$G$49,MATCH(orders!$D140,products!$A$1:$A$49,0),MATCH(orders!L$1,products!$A$1:$G$1,0))</f>
        <v>12.15</v>
      </c>
      <c r="M140">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cm="1">
        <f t="array" ref="F141">_xlfn.XLOOKUP(C141,customers!$A$1:$A1140,customers!$B$1:$B1140,,0)</f>
        <v>Rivy Farington</v>
      </c>
      <c r="G141" s="2" t="str">
        <f>IF(_xlfn.XLOOKUP(C141, customers!$A:$A, customers!$C:$C,,0)=0, "", _xlfn.XLOOKUP(C141, customers!$A:$A, customers!$C:$C,,0))</f>
        <v/>
      </c>
      <c r="H141" s="2" t="str">
        <f>_xlfn.XLOOKUP(C141, customers!$A:$A, customers!$G:$G,,0)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f>INDEX(products!$A$1:$G$49,MATCH(orders!$D141,products!$A$1:$A$49,0),MATCH(orders!L$1,products!$A$1:$G$1,0))</f>
        <v>12.95</v>
      </c>
      <c r="M141">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cm="1">
        <f t="array" ref="F142">_xlfn.XLOOKUP(C142,customers!$A$1:$A1141,customers!$B$1:$B1141,,0)</f>
        <v>Vallie Kundt</v>
      </c>
      <c r="G142" s="2" t="str">
        <f>IF(_xlfn.XLOOKUP(C142, customers!$A:$A, customers!$C:$C,,0)=0, "", _xlfn.XLOOKUP(C142, customers!$A:$A, customers!$C:$C,,0))</f>
        <v>vkundt3w@bigcartel.com</v>
      </c>
      <c r="H142" s="2" t="str">
        <f>_xlfn.XLOOKUP(C142, customers!$A:$A, customers!$G:$G,,0)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f>INDEX(products!$A$1:$G$49,MATCH(orders!$D142,products!$A$1:$A$49,0),MATCH(orders!L$1,products!$A$1:$G$1,0))</f>
        <v>29.784999999999997</v>
      </c>
      <c r="M142">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cm="1">
        <f t="array" ref="F143">_xlfn.XLOOKUP(C143,customers!$A$1:$A1142,customers!$B$1:$B1142,,0)</f>
        <v>Boyd Bett</v>
      </c>
      <c r="G143" s="2" t="str">
        <f>IF(_xlfn.XLOOKUP(C143, customers!$A:$A, customers!$C:$C,,0)=0, "", _xlfn.XLOOKUP(C143, customers!$A:$A, customers!$C:$C,,0))</f>
        <v>bbett3x@google.de</v>
      </c>
      <c r="H143" s="2" t="str">
        <f>_xlfn.XLOOKUP(C143, customers!$A:$A, customers!$G:$G,,0)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f>INDEX(products!$A$1:$G$49,MATCH(orders!$D143,products!$A$1:$A$49,0),MATCH(orders!L$1,products!$A$1:$G$1,0))</f>
        <v>3.8849999999999998</v>
      </c>
      <c r="M143">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cm="1">
        <f t="array" ref="F144">_xlfn.XLOOKUP(C144,customers!$A$1:$A1143,customers!$B$1:$B1143,,0)</f>
        <v>Julio Armytage</v>
      </c>
      <c r="G144" s="2" t="str">
        <f>IF(_xlfn.XLOOKUP(C144, customers!$A:$A, customers!$C:$C,,0)=0, "", _xlfn.XLOOKUP(C144, customers!$A:$A, customers!$C:$C,,0))</f>
        <v/>
      </c>
      <c r="H144" s="2" t="str">
        <f>_xlfn.XLOOKUP(C144, customers!$A:$A, customers!$G:$G,,0)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f>INDEX(products!$A$1:$G$49,MATCH(orders!$D144,products!$A$1:$A$49,0),MATCH(orders!L$1,products!$A$1:$G$1,0))</f>
        <v>34.154999999999994</v>
      </c>
      <c r="M144">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cm="1">
        <f t="array" ref="F145">_xlfn.XLOOKUP(C145,customers!$A$1:$A1144,customers!$B$1:$B1144,,0)</f>
        <v>Deana Staite</v>
      </c>
      <c r="G145" s="2" t="str">
        <f>IF(_xlfn.XLOOKUP(C145, customers!$A:$A, customers!$C:$C,,0)=0, "", _xlfn.XLOOKUP(C145, customers!$A:$A, customers!$C:$C,,0))</f>
        <v>dstaite3z@scientificamerican.com</v>
      </c>
      <c r="H145" s="2" t="str">
        <f>_xlfn.XLOOKUP(C145, customers!$A:$A, customers!$G:$G,,0)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f>INDEX(products!$A$1:$G$49,MATCH(orders!$D145,products!$A$1:$A$49,0),MATCH(orders!L$1,products!$A$1:$G$1,0))</f>
        <v>8.73</v>
      </c>
      <c r="M14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cm="1">
        <f t="array" ref="F146">_xlfn.XLOOKUP(C146,customers!$A$1:$A1145,customers!$B$1:$B1145,,0)</f>
        <v>Winn Keyse</v>
      </c>
      <c r="G146" s="2" t="str">
        <f>IF(_xlfn.XLOOKUP(C146, customers!$A:$A, customers!$C:$C,,0)=0, "", _xlfn.XLOOKUP(C146, customers!$A:$A, customers!$C:$C,,0))</f>
        <v>wkeyse40@apple.com</v>
      </c>
      <c r="H146" s="2" t="str">
        <f>_xlfn.XLOOKUP(C146, customers!$A:$A, customers!$G:$G,,0)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f>INDEX(products!$A$1:$G$49,MATCH(orders!$D146,products!$A$1:$A$49,0),MATCH(orders!L$1,products!$A$1:$G$1,0))</f>
        <v>34.154999999999994</v>
      </c>
      <c r="M146">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cm="1">
        <f t="array" ref="F147">_xlfn.XLOOKUP(C147,customers!$A$1:$A1146,customers!$B$1:$B1146,,0)</f>
        <v>Osmund Clausen-Thue</v>
      </c>
      <c r="G147" s="2" t="str">
        <f>IF(_xlfn.XLOOKUP(C147, customers!$A:$A, customers!$C:$C,,0)=0, "", _xlfn.XLOOKUP(C147, customers!$A:$A, customers!$C:$C,,0))</f>
        <v>oclausenthue41@marriott.com</v>
      </c>
      <c r="H147" s="2" t="str">
        <f>_xlfn.XLOOKUP(C147, customers!$A:$A, customers!$G:$G,,0)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f>INDEX(products!$A$1:$G$49,MATCH(orders!$D147,products!$A$1:$A$49,0),MATCH(orders!L$1,products!$A$1:$G$1,0))</f>
        <v>4.3650000000000002</v>
      </c>
      <c r="M147">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cm="1">
        <f t="array" ref="F148">_xlfn.XLOOKUP(C148,customers!$A$1:$A1147,customers!$B$1:$B1147,,0)</f>
        <v>Leonore Francisco</v>
      </c>
      <c r="G148" s="2" t="str">
        <f>IF(_xlfn.XLOOKUP(C148, customers!$A:$A, customers!$C:$C,,0)=0, "", _xlfn.XLOOKUP(C148, customers!$A:$A, customers!$C:$C,,0))</f>
        <v>lfrancisco42@fema.gov</v>
      </c>
      <c r="H148" s="2" t="str">
        <f>_xlfn.XLOOKUP(C148, customers!$A:$A, customers!$G:$G,,0)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f>INDEX(products!$A$1:$G$49,MATCH(orders!$D148,products!$A$1:$A$49,0),MATCH(orders!L$1,products!$A$1:$G$1,0))</f>
        <v>14.55</v>
      </c>
      <c r="M148">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cm="1">
        <f t="array" ref="F149">_xlfn.XLOOKUP(C149,customers!$A$1:$A1148,customers!$B$1:$B1148,,0)</f>
        <v>Leonore Francisco</v>
      </c>
      <c r="G149" s="2" t="str">
        <f>IF(_xlfn.XLOOKUP(C149, customers!$A:$A, customers!$C:$C,,0)=0, "", _xlfn.XLOOKUP(C149, customers!$A:$A, customers!$C:$C,,0))</f>
        <v>lfrancisco42@fema.gov</v>
      </c>
      <c r="H149" s="2" t="str">
        <f>_xlfn.XLOOKUP(C149, customers!$A:$A, customers!$G:$G,,0)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f>INDEX(products!$A$1:$G$49,MATCH(orders!$D149,products!$A$1:$A$49,0),MATCH(orders!L$1,products!$A$1:$G$1,0))</f>
        <v>13.75</v>
      </c>
      <c r="M149">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cm="1">
        <f t="array" ref="F150">_xlfn.XLOOKUP(C150,customers!$A$1:$A1149,customers!$B$1:$B1149,,0)</f>
        <v>Giacobo Skingle</v>
      </c>
      <c r="G150" s="2" t="str">
        <f>IF(_xlfn.XLOOKUP(C150, customers!$A:$A, customers!$C:$C,,0)=0, "", _xlfn.XLOOKUP(C150, customers!$A:$A, customers!$C:$C,,0))</f>
        <v>gskingle44@clickbank.net</v>
      </c>
      <c r="H150" s="2" t="str">
        <f>_xlfn.XLOOKUP(C150, customers!$A:$A, customers!$G:$G,,0)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f>INDEX(products!$A$1:$G$49,MATCH(orders!$D150,products!$A$1:$A$49,0),MATCH(orders!L$1,products!$A$1:$G$1,0))</f>
        <v>3.645</v>
      </c>
      <c r="M150">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cm="1">
        <f t="array" ref="F151">_xlfn.XLOOKUP(C151,customers!$A$1:$A1150,customers!$B$1:$B1150,,0)</f>
        <v>Gerard Pirdy</v>
      </c>
      <c r="G151" s="2" t="str">
        <f>IF(_xlfn.XLOOKUP(C151, customers!$A:$A, customers!$C:$C,,0)=0, "", _xlfn.XLOOKUP(C151, customers!$A:$A, customers!$C:$C,,0))</f>
        <v/>
      </c>
      <c r="H151" s="2" t="str">
        <f>_xlfn.XLOOKUP(C151, customers!$A:$A, customers!$G:$G,,0)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f>INDEX(products!$A$1:$G$49,MATCH(orders!$D151,products!$A$1:$A$49,0),MATCH(orders!L$1,products!$A$1:$G$1,0))</f>
        <v>25.874999999999996</v>
      </c>
      <c r="M151">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cm="1">
        <f t="array" ref="F152">_xlfn.XLOOKUP(C152,customers!$A$1:$A1151,customers!$B$1:$B1151,,0)</f>
        <v>Jacinthe Balsillie</v>
      </c>
      <c r="G152" s="2" t="str">
        <f>IF(_xlfn.XLOOKUP(C152, customers!$A:$A, customers!$C:$C,,0)=0, "", _xlfn.XLOOKUP(C152, customers!$A:$A, customers!$C:$C,,0))</f>
        <v>jbalsillie46@princeton.edu</v>
      </c>
      <c r="H152" s="2" t="str">
        <f>_xlfn.XLOOKUP(C152, customers!$A:$A, customers!$G:$G,,0)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f>INDEX(products!$A$1:$G$49,MATCH(orders!$D152,products!$A$1:$A$49,0),MATCH(orders!L$1,products!$A$1:$G$1,0))</f>
        <v>12.95</v>
      </c>
      <c r="M152">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cm="1">
        <f t="array" ref="F153">_xlfn.XLOOKUP(C153,customers!$A$1:$A1152,customers!$B$1:$B1152,,0)</f>
        <v>Quinton Fouracres</v>
      </c>
      <c r="G153" s="2" t="str">
        <f>IF(_xlfn.XLOOKUP(C153, customers!$A:$A, customers!$C:$C,,0)=0, "", _xlfn.XLOOKUP(C153, customers!$A:$A, customers!$C:$C,,0))</f>
        <v/>
      </c>
      <c r="H153" s="2" t="str">
        <f>_xlfn.XLOOKUP(C153, customers!$A:$A, customers!$G:$G,,0)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f>INDEX(products!$A$1:$G$49,MATCH(orders!$D153,products!$A$1:$A$49,0),MATCH(orders!L$1,products!$A$1:$G$1,0))</f>
        <v>11.25</v>
      </c>
      <c r="M153">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cm="1">
        <f t="array" ref="F154">_xlfn.XLOOKUP(C154,customers!$A$1:$A1153,customers!$B$1:$B1153,,0)</f>
        <v>Bettina Leffek</v>
      </c>
      <c r="G154" s="2" t="str">
        <f>IF(_xlfn.XLOOKUP(C154, customers!$A:$A, customers!$C:$C,,0)=0, "", _xlfn.XLOOKUP(C154, customers!$A:$A, customers!$C:$C,,0))</f>
        <v>bleffek48@ning.com</v>
      </c>
      <c r="H154" s="2" t="str">
        <f>_xlfn.XLOOKUP(C154, customers!$A:$A, customers!$G:$G,,0)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f>INDEX(products!$A$1:$G$49,MATCH(orders!$D154,products!$A$1:$A$49,0),MATCH(orders!L$1,products!$A$1:$G$1,0))</f>
        <v>22.884999999999998</v>
      </c>
      <c r="M154">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cm="1">
        <f t="array" ref="F155">_xlfn.XLOOKUP(C155,customers!$A$1:$A1154,customers!$B$1:$B1154,,0)</f>
        <v>Hetti Penson</v>
      </c>
      <c r="G155" s="2" t="str">
        <f>IF(_xlfn.XLOOKUP(C155, customers!$A:$A, customers!$C:$C,,0)=0, "", _xlfn.XLOOKUP(C155, customers!$A:$A, customers!$C:$C,,0))</f>
        <v/>
      </c>
      <c r="H155" s="2" t="str">
        <f>_xlfn.XLOOKUP(C155, customers!$A:$A, customers!$G:$G,,0)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f>INDEX(products!$A$1:$G$49,MATCH(orders!$D155,products!$A$1:$A$49,0),MATCH(orders!L$1,products!$A$1:$G$1,0))</f>
        <v>2.6849999999999996</v>
      </c>
      <c r="M15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cm="1">
        <f t="array" ref="F156">_xlfn.XLOOKUP(C156,customers!$A$1:$A1155,customers!$B$1:$B1155,,0)</f>
        <v>Jocko Pray</v>
      </c>
      <c r="G156" s="2" t="str">
        <f>IF(_xlfn.XLOOKUP(C156, customers!$A:$A, customers!$C:$C,,0)=0, "", _xlfn.XLOOKUP(C156, customers!$A:$A, customers!$C:$C,,0))</f>
        <v>jpray4a@youtube.com</v>
      </c>
      <c r="H156" s="2" t="str">
        <f>_xlfn.XLOOKUP(C156, customers!$A:$A, customers!$G:$G,,0)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f>INDEX(products!$A$1:$G$49,MATCH(orders!$D156,products!$A$1:$A$49,0),MATCH(orders!L$1,products!$A$1:$G$1,0))</f>
        <v>22.884999999999998</v>
      </c>
      <c r="M156">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cm="1">
        <f t="array" ref="F157">_xlfn.XLOOKUP(C157,customers!$A$1:$A1156,customers!$B$1:$B1156,,0)</f>
        <v>Grete Holborn</v>
      </c>
      <c r="G157" s="2" t="str">
        <f>IF(_xlfn.XLOOKUP(C157, customers!$A:$A, customers!$C:$C,,0)=0, "", _xlfn.XLOOKUP(C157, customers!$A:$A, customers!$C:$C,,0))</f>
        <v>gholborn4b@ow.ly</v>
      </c>
      <c r="H157" s="2" t="str">
        <f>_xlfn.XLOOKUP(C157, customers!$A:$A, customers!$G:$G,,0)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f>INDEX(products!$A$1:$G$49,MATCH(orders!$D157,products!$A$1:$A$49,0),MATCH(orders!L$1,products!$A$1:$G$1,0))</f>
        <v>25.874999999999996</v>
      </c>
      <c r="M157">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cm="1">
        <f t="array" ref="F158">_xlfn.XLOOKUP(C158,customers!$A$1:$A1157,customers!$B$1:$B1157,,0)</f>
        <v>Fielding Keinrat</v>
      </c>
      <c r="G158" s="2" t="str">
        <f>IF(_xlfn.XLOOKUP(C158, customers!$A:$A, customers!$C:$C,,0)=0, "", _xlfn.XLOOKUP(C158, customers!$A:$A, customers!$C:$C,,0))</f>
        <v>fkeinrat4c@dailymail.co.uk</v>
      </c>
      <c r="H158" s="2" t="str">
        <f>_xlfn.XLOOKUP(C158, customers!$A:$A, customers!$G:$G,,0)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f>INDEX(products!$A$1:$G$49,MATCH(orders!$D158,products!$A$1:$A$49,0),MATCH(orders!L$1,products!$A$1:$G$1,0))</f>
        <v>25.874999999999996</v>
      </c>
      <c r="M158">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cm="1">
        <f t="array" ref="F159">_xlfn.XLOOKUP(C159,customers!$A$1:$A1158,customers!$B$1:$B1158,,0)</f>
        <v>Paulo Yea</v>
      </c>
      <c r="G159" s="2" t="str">
        <f>IF(_xlfn.XLOOKUP(C159, customers!$A:$A, customers!$C:$C,,0)=0, "", _xlfn.XLOOKUP(C159, customers!$A:$A, customers!$C:$C,,0))</f>
        <v>pyea4d@aol.com</v>
      </c>
      <c r="H159" s="2" t="str">
        <f>_xlfn.XLOOKUP(C159, customers!$A:$A, customers!$G:$G,,0)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f>INDEX(products!$A$1:$G$49,MATCH(orders!$D159,products!$A$1:$A$49,0),MATCH(orders!L$1,products!$A$1:$G$1,0))</f>
        <v>20.584999999999997</v>
      </c>
      <c r="M159">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cm="1">
        <f t="array" ref="F160">_xlfn.XLOOKUP(C160,customers!$A$1:$A1159,customers!$B$1:$B1159,,0)</f>
        <v>Say Risborough</v>
      </c>
      <c r="G160" s="2" t="str">
        <f>IF(_xlfn.XLOOKUP(C160, customers!$A:$A, customers!$C:$C,,0)=0, "", _xlfn.XLOOKUP(C160, customers!$A:$A, customers!$C:$C,,0))</f>
        <v/>
      </c>
      <c r="H160" s="2" t="str">
        <f>_xlfn.XLOOKUP(C160, customers!$A:$A, customers!$G:$G,,0)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f>INDEX(products!$A$1:$G$49,MATCH(orders!$D160,products!$A$1:$A$49,0),MATCH(orders!L$1,products!$A$1:$G$1,0))</f>
        <v>20.584999999999997</v>
      </c>
      <c r="M160">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cm="1">
        <f t="array" ref="F161">_xlfn.XLOOKUP(C161,customers!$A$1:$A1160,customers!$B$1:$B1160,,0)</f>
        <v>Alexa Sizey</v>
      </c>
      <c r="G161" s="2" t="str">
        <f>IF(_xlfn.XLOOKUP(C161, customers!$A:$A, customers!$C:$C,,0)=0, "", _xlfn.XLOOKUP(C161, customers!$A:$A, customers!$C:$C,,0))</f>
        <v/>
      </c>
      <c r="H161" s="2" t="str">
        <f>_xlfn.XLOOKUP(C161, customers!$A:$A, customers!$G:$G,,0)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f>INDEX(products!$A$1:$G$49,MATCH(orders!$D161,products!$A$1:$A$49,0),MATCH(orders!L$1,products!$A$1:$G$1,0))</f>
        <v>36.454999999999998</v>
      </c>
      <c r="M161">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cm="1">
        <f t="array" ref="F162">_xlfn.XLOOKUP(C162,customers!$A$1:$A1161,customers!$B$1:$B1161,,0)</f>
        <v>Kari Swede</v>
      </c>
      <c r="G162" s="2" t="str">
        <f>IF(_xlfn.XLOOKUP(C162, customers!$A:$A, customers!$C:$C,,0)=0, "", _xlfn.XLOOKUP(C162, customers!$A:$A, customers!$C:$C,,0))</f>
        <v>kswede4g@addthis.com</v>
      </c>
      <c r="H162" s="2" t="str">
        <f>_xlfn.XLOOKUP(C162, customers!$A:$A, customers!$G:$G,,0)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f>INDEX(products!$A$1:$G$49,MATCH(orders!$D162,products!$A$1:$A$49,0),MATCH(orders!L$1,products!$A$1:$G$1,0))</f>
        <v>8.25</v>
      </c>
      <c r="M162">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cm="1">
        <f t="array" ref="F163">_xlfn.XLOOKUP(C163,customers!$A$1:$A1162,customers!$B$1:$B1162,,0)</f>
        <v>Leontine Rubrow</v>
      </c>
      <c r="G163" s="2" t="str">
        <f>IF(_xlfn.XLOOKUP(C163, customers!$A:$A, customers!$C:$C,,0)=0, "", _xlfn.XLOOKUP(C163, customers!$A:$A, customers!$C:$C,,0))</f>
        <v>lrubrow4h@microsoft.com</v>
      </c>
      <c r="H163" s="2" t="str">
        <f>_xlfn.XLOOKUP(C163, customers!$A:$A, customers!$G:$G,,0)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f>INDEX(products!$A$1:$G$49,MATCH(orders!$D163,products!$A$1:$A$49,0),MATCH(orders!L$1,products!$A$1:$G$1,0))</f>
        <v>7.77</v>
      </c>
      <c r="M163">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cm="1">
        <f t="array" ref="F164">_xlfn.XLOOKUP(C164,customers!$A$1:$A1163,customers!$B$1:$B1163,,0)</f>
        <v>Dottie Tift</v>
      </c>
      <c r="G164" s="2" t="str">
        <f>IF(_xlfn.XLOOKUP(C164, customers!$A:$A, customers!$C:$C,,0)=0, "", _xlfn.XLOOKUP(C164, customers!$A:$A, customers!$C:$C,,0))</f>
        <v>dtift4i@netvibes.com</v>
      </c>
      <c r="H164" s="2" t="str">
        <f>_xlfn.XLOOKUP(C164, customers!$A:$A, customers!$G:$G,,0)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f>INDEX(products!$A$1:$G$49,MATCH(orders!$D164,products!$A$1:$A$49,0),MATCH(orders!L$1,products!$A$1:$G$1,0))</f>
        <v>7.29</v>
      </c>
      <c r="M164">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cm="1">
        <f t="array" ref="F165">_xlfn.XLOOKUP(C165,customers!$A$1:$A1164,customers!$B$1:$B1164,,0)</f>
        <v>Gerardo Schonfeld</v>
      </c>
      <c r="G165" s="2" t="str">
        <f>IF(_xlfn.XLOOKUP(C165, customers!$A:$A, customers!$C:$C,,0)=0, "", _xlfn.XLOOKUP(C165, customers!$A:$A, customers!$C:$C,,0))</f>
        <v>gschonfeld4j@oracle.com</v>
      </c>
      <c r="H165" s="2" t="str">
        <f>_xlfn.XLOOKUP(C165, customers!$A:$A, customers!$G:$G,,0)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f>INDEX(products!$A$1:$G$49,MATCH(orders!$D165,products!$A$1:$A$49,0),MATCH(orders!L$1,products!$A$1:$G$1,0))</f>
        <v>2.6849999999999996</v>
      </c>
      <c r="M16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cm="1">
        <f t="array" ref="F166">_xlfn.XLOOKUP(C166,customers!$A$1:$A1165,customers!$B$1:$B1165,,0)</f>
        <v>Claiborne Feye</v>
      </c>
      <c r="G166" s="2" t="str">
        <f>IF(_xlfn.XLOOKUP(C166, customers!$A:$A, customers!$C:$C,,0)=0, "", _xlfn.XLOOKUP(C166, customers!$A:$A, customers!$C:$C,,0))</f>
        <v>cfeye4k@google.co.jp</v>
      </c>
      <c r="H166" s="2" t="str">
        <f>_xlfn.XLOOKUP(C166, customers!$A:$A, customers!$G:$G,,0)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f>INDEX(products!$A$1:$G$49,MATCH(orders!$D166,products!$A$1:$A$49,0),MATCH(orders!L$1,products!$A$1:$G$1,0))</f>
        <v>7.29</v>
      </c>
      <c r="M166">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cm="1">
        <f t="array" ref="F167">_xlfn.XLOOKUP(C167,customers!$A$1:$A1166,customers!$B$1:$B1166,,0)</f>
        <v>Mina Elstone</v>
      </c>
      <c r="G167" s="2" t="str">
        <f>IF(_xlfn.XLOOKUP(C167, customers!$A:$A, customers!$C:$C,,0)=0, "", _xlfn.XLOOKUP(C167, customers!$A:$A, customers!$C:$C,,0))</f>
        <v/>
      </c>
      <c r="H167" s="2" t="str">
        <f>_xlfn.XLOOKUP(C167, customers!$A:$A, customers!$G:$G,,0)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f>INDEX(products!$A$1:$G$49,MATCH(orders!$D167,products!$A$1:$A$49,0),MATCH(orders!L$1,products!$A$1:$G$1,0))</f>
        <v>8.9499999999999993</v>
      </c>
      <c r="M167">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cm="1">
        <f t="array" ref="F168">_xlfn.XLOOKUP(C168,customers!$A$1:$A1167,customers!$B$1:$B1167,,0)</f>
        <v>Sherman Mewrcik</v>
      </c>
      <c r="G168" s="2" t="str">
        <f>IF(_xlfn.XLOOKUP(C168, customers!$A:$A, customers!$C:$C,,0)=0, "", _xlfn.XLOOKUP(C168, customers!$A:$A, customers!$C:$C,,0))</f>
        <v/>
      </c>
      <c r="H168" s="2" t="str">
        <f>_xlfn.XLOOKUP(C168, customers!$A:$A, customers!$G:$G,,0)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f>INDEX(products!$A$1:$G$49,MATCH(orders!$D168,products!$A$1:$A$49,0),MATCH(orders!L$1,products!$A$1:$G$1,0))</f>
        <v>5.3699999999999992</v>
      </c>
      <c r="M168">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cm="1">
        <f t="array" ref="F169">_xlfn.XLOOKUP(C169,customers!$A$1:$A1168,customers!$B$1:$B1168,,0)</f>
        <v>Tamarah Fero</v>
      </c>
      <c r="G169" s="2" t="str">
        <f>IF(_xlfn.XLOOKUP(C169, customers!$A:$A, customers!$C:$C,,0)=0, "", _xlfn.XLOOKUP(C169, customers!$A:$A, customers!$C:$C,,0))</f>
        <v>tfero4n@comsenz.com</v>
      </c>
      <c r="H169" s="2" t="str">
        <f>_xlfn.XLOOKUP(C169, customers!$A:$A, customers!$G:$G,,0)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f>INDEX(products!$A$1:$G$49,MATCH(orders!$D169,products!$A$1:$A$49,0),MATCH(orders!L$1,products!$A$1:$G$1,0))</f>
        <v>8.25</v>
      </c>
      <c r="M169">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cm="1">
        <f t="array" ref="F170">_xlfn.XLOOKUP(C170,customers!$A$1:$A1169,customers!$B$1:$B1169,,0)</f>
        <v>Stanislaus Valsler</v>
      </c>
      <c r="G170" s="2" t="str">
        <f>IF(_xlfn.XLOOKUP(C170, customers!$A:$A, customers!$C:$C,,0)=0, "", _xlfn.XLOOKUP(C170, customers!$A:$A, customers!$C:$C,,0))</f>
        <v/>
      </c>
      <c r="H170" s="2" t="str">
        <f>_xlfn.XLOOKUP(C170, customers!$A:$A, customers!$G:$G,,0)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f>INDEX(products!$A$1:$G$49,MATCH(orders!$D170,products!$A$1:$A$49,0),MATCH(orders!L$1,products!$A$1:$G$1,0))</f>
        <v>6.75</v>
      </c>
      <c r="M170">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cm="1">
        <f t="array" ref="F171">_xlfn.XLOOKUP(C171,customers!$A$1:$A1170,customers!$B$1:$B1170,,0)</f>
        <v>Felita Dauney</v>
      </c>
      <c r="G171" s="2" t="str">
        <f>IF(_xlfn.XLOOKUP(C171, customers!$A:$A, customers!$C:$C,,0)=0, "", _xlfn.XLOOKUP(C171, customers!$A:$A, customers!$C:$C,,0))</f>
        <v>fdauney4p@sphinn.com</v>
      </c>
      <c r="H171" s="2" t="str">
        <f>_xlfn.XLOOKUP(C171, customers!$A:$A, customers!$G:$G,,0)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f>INDEX(products!$A$1:$G$49,MATCH(orders!$D171,products!$A$1:$A$49,0),MATCH(orders!L$1,products!$A$1:$G$1,0))</f>
        <v>8.9499999999999993</v>
      </c>
      <c r="M171">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cm="1">
        <f t="array" ref="F172">_xlfn.XLOOKUP(C172,customers!$A$1:$A1171,customers!$B$1:$B1171,,0)</f>
        <v>Serena Earley</v>
      </c>
      <c r="G172" s="2" t="str">
        <f>IF(_xlfn.XLOOKUP(C172, customers!$A:$A, customers!$C:$C,,0)=0, "", _xlfn.XLOOKUP(C172, customers!$A:$A, customers!$C:$C,,0))</f>
        <v>searley4q@youku.com</v>
      </c>
      <c r="H172" s="2" t="str">
        <f>_xlfn.XLOOKUP(C172, customers!$A:$A, customers!$G:$G,,0)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f>INDEX(products!$A$1:$G$49,MATCH(orders!$D172,products!$A$1:$A$49,0),MATCH(orders!L$1,products!$A$1:$G$1,0))</f>
        <v>34.154999999999994</v>
      </c>
      <c r="M172">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cm="1">
        <f t="array" ref="F173">_xlfn.XLOOKUP(C173,customers!$A$1:$A1172,customers!$B$1:$B1172,,0)</f>
        <v>Minny Chamberlayne</v>
      </c>
      <c r="G173" s="2" t="str">
        <f>IF(_xlfn.XLOOKUP(C173, customers!$A:$A, customers!$C:$C,,0)=0, "", _xlfn.XLOOKUP(C173, customers!$A:$A, customers!$C:$C,,0))</f>
        <v>mchamberlayne4r@bigcartel.com</v>
      </c>
      <c r="H173" s="2" t="str">
        <f>_xlfn.XLOOKUP(C173, customers!$A:$A, customers!$G:$G,,0)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f>INDEX(products!$A$1:$G$49,MATCH(orders!$D173,products!$A$1:$A$49,0),MATCH(orders!L$1,products!$A$1:$G$1,0))</f>
        <v>31.624999999999996</v>
      </c>
      <c r="M173">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cm="1">
        <f t="array" ref="F174">_xlfn.XLOOKUP(C174,customers!$A$1:$A1173,customers!$B$1:$B1173,,0)</f>
        <v>Bartholemy Flaherty</v>
      </c>
      <c r="G174" s="2" t="str">
        <f>IF(_xlfn.XLOOKUP(C174, customers!$A:$A, customers!$C:$C,,0)=0, "", _xlfn.XLOOKUP(C174, customers!$A:$A, customers!$C:$C,,0))</f>
        <v>bflaherty4s@moonfruit.com</v>
      </c>
      <c r="H174" s="2" t="str">
        <f>_xlfn.XLOOKUP(C174, customers!$A:$A, customers!$G:$G,,0)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f>INDEX(products!$A$1:$G$49,MATCH(orders!$D174,products!$A$1:$A$49,0),MATCH(orders!L$1,products!$A$1:$G$1,0))</f>
        <v>7.29</v>
      </c>
      <c r="M174">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cm="1">
        <f t="array" ref="F175">_xlfn.XLOOKUP(C175,customers!$A$1:$A1174,customers!$B$1:$B1174,,0)</f>
        <v>Oran Colbeck</v>
      </c>
      <c r="G175" s="2" t="str">
        <f>IF(_xlfn.XLOOKUP(C175, customers!$A:$A, customers!$C:$C,,0)=0, "", _xlfn.XLOOKUP(C175, customers!$A:$A, customers!$C:$C,,0))</f>
        <v>ocolbeck4t@sina.com.cn</v>
      </c>
      <c r="H175" s="2" t="str">
        <f>_xlfn.XLOOKUP(C175, customers!$A:$A, customers!$G:$G,,0)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f>INDEX(products!$A$1:$G$49,MATCH(orders!$D175,products!$A$1:$A$49,0),MATCH(orders!L$1,products!$A$1:$G$1,0))</f>
        <v>22.884999999999998</v>
      </c>
      <c r="M17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cm="1">
        <f t="array" ref="F176">_xlfn.XLOOKUP(C176,customers!$A$1:$A1175,customers!$B$1:$B1175,,0)</f>
        <v>Elysee Sketch</v>
      </c>
      <c r="G176" s="2" t="str">
        <f>IF(_xlfn.XLOOKUP(C176, customers!$A:$A, customers!$C:$C,,0)=0, "", _xlfn.XLOOKUP(C176, customers!$A:$A, customers!$C:$C,,0))</f>
        <v/>
      </c>
      <c r="H176" s="2" t="str">
        <f>_xlfn.XLOOKUP(C176, customers!$A:$A, customers!$G:$G,,0)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f>INDEX(products!$A$1:$G$49,MATCH(orders!$D176,products!$A$1:$A$49,0),MATCH(orders!L$1,products!$A$1:$G$1,0))</f>
        <v>34.154999999999994</v>
      </c>
      <c r="M176">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cm="1">
        <f t="array" ref="F177">_xlfn.XLOOKUP(C177,customers!$A$1:$A1176,customers!$B$1:$B1176,,0)</f>
        <v>Ethelda Hobbing</v>
      </c>
      <c r="G177" s="2" t="str">
        <f>IF(_xlfn.XLOOKUP(C177, customers!$A:$A, customers!$C:$C,,0)=0, "", _xlfn.XLOOKUP(C177, customers!$A:$A, customers!$C:$C,,0))</f>
        <v>ehobbing4v@nsw.gov.au</v>
      </c>
      <c r="H177" s="2" t="str">
        <f>_xlfn.XLOOKUP(C177, customers!$A:$A, customers!$G:$G,,0)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f>INDEX(products!$A$1:$G$49,MATCH(orders!$D177,products!$A$1:$A$49,0),MATCH(orders!L$1,products!$A$1:$G$1,0))</f>
        <v>31.624999999999996</v>
      </c>
      <c r="M177">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cm="1">
        <f t="array" ref="F178">_xlfn.XLOOKUP(C178,customers!$A$1:$A1177,customers!$B$1:$B1177,,0)</f>
        <v>Odille Thynne</v>
      </c>
      <c r="G178" s="2" t="str">
        <f>IF(_xlfn.XLOOKUP(C178, customers!$A:$A, customers!$C:$C,,0)=0, "", _xlfn.XLOOKUP(C178, customers!$A:$A, customers!$C:$C,,0))</f>
        <v>othynne4w@auda.org.au</v>
      </c>
      <c r="H178" s="2" t="str">
        <f>_xlfn.XLOOKUP(C178, customers!$A:$A, customers!$G:$G,,0)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f>INDEX(products!$A$1:$G$49,MATCH(orders!$D178,products!$A$1:$A$49,0),MATCH(orders!L$1,products!$A$1:$G$1,0))</f>
        <v>34.154999999999994</v>
      </c>
      <c r="M178">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cm="1">
        <f t="array" ref="F179">_xlfn.XLOOKUP(C179,customers!$A$1:$A1178,customers!$B$1:$B1178,,0)</f>
        <v>Emlynne Heining</v>
      </c>
      <c r="G179" s="2" t="str">
        <f>IF(_xlfn.XLOOKUP(C179, customers!$A:$A, customers!$C:$C,,0)=0, "", _xlfn.XLOOKUP(C179, customers!$A:$A, customers!$C:$C,,0))</f>
        <v>eheining4x@flickr.com</v>
      </c>
      <c r="H179" s="2" t="str">
        <f>_xlfn.XLOOKUP(C179, customers!$A:$A, customers!$G:$G,,0)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f>INDEX(products!$A$1:$G$49,MATCH(orders!$D179,products!$A$1:$A$49,0),MATCH(orders!L$1,products!$A$1:$G$1,0))</f>
        <v>27.484999999999996</v>
      </c>
      <c r="M179">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cm="1">
        <f t="array" ref="F180">_xlfn.XLOOKUP(C180,customers!$A$1:$A1179,customers!$B$1:$B1179,,0)</f>
        <v>Katerina Melloi</v>
      </c>
      <c r="G180" s="2" t="str">
        <f>IF(_xlfn.XLOOKUP(C180, customers!$A:$A, customers!$C:$C,,0)=0, "", _xlfn.XLOOKUP(C180, customers!$A:$A, customers!$C:$C,,0))</f>
        <v>kmelloi4y@imdb.com</v>
      </c>
      <c r="H180" s="2" t="str">
        <f>_xlfn.XLOOKUP(C180, customers!$A:$A, customers!$G:$G,,0)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f>INDEX(products!$A$1:$G$49,MATCH(orders!$D180,products!$A$1:$A$49,0),MATCH(orders!L$1,products!$A$1:$G$1,0))</f>
        <v>12.95</v>
      </c>
      <c r="M180">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cm="1">
        <f t="array" ref="F181">_xlfn.XLOOKUP(C181,customers!$A$1:$A1180,customers!$B$1:$B1180,,0)</f>
        <v>Tiffany Scardafield</v>
      </c>
      <c r="G181" s="2" t="str">
        <f>IF(_xlfn.XLOOKUP(C181, customers!$A:$A, customers!$C:$C,,0)=0, "", _xlfn.XLOOKUP(C181, customers!$A:$A, customers!$C:$C,,0))</f>
        <v/>
      </c>
      <c r="H181" s="2" t="str">
        <f>_xlfn.XLOOKUP(C181, customers!$A:$A, customers!$G:$G,,0)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f>INDEX(products!$A$1:$G$49,MATCH(orders!$D181,products!$A$1:$A$49,0),MATCH(orders!L$1,products!$A$1:$G$1,0))</f>
        <v>2.9849999999999999</v>
      </c>
      <c r="M181">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cm="1">
        <f t="array" ref="F182">_xlfn.XLOOKUP(C182,customers!$A$1:$A1181,customers!$B$1:$B1181,,0)</f>
        <v>Abrahan Mussen</v>
      </c>
      <c r="G182" s="2" t="str">
        <f>IF(_xlfn.XLOOKUP(C182, customers!$A:$A, customers!$C:$C,,0)=0, "", _xlfn.XLOOKUP(C182, customers!$A:$A, customers!$C:$C,,0))</f>
        <v>amussen50@51.la</v>
      </c>
      <c r="H182" s="2" t="str">
        <f>_xlfn.XLOOKUP(C182, customers!$A:$A, customers!$G:$G,,0)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f>INDEX(products!$A$1:$G$49,MATCH(orders!$D182,products!$A$1:$A$49,0),MATCH(orders!L$1,products!$A$1:$G$1,0))</f>
        <v>4.4550000000000001</v>
      </c>
      <c r="M182">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cm="1">
        <f t="array" ref="F183">_xlfn.XLOOKUP(C183,customers!$A$1:$A1182,customers!$B$1:$B1182,,0)</f>
        <v>Abrahan Mussen</v>
      </c>
      <c r="G183" s="2" t="str">
        <f>IF(_xlfn.XLOOKUP(C183, customers!$A:$A, customers!$C:$C,,0)=0, "", _xlfn.XLOOKUP(C183, customers!$A:$A, customers!$C:$C,,0))</f>
        <v>amussen50@51.la</v>
      </c>
      <c r="H183" s="2" t="str">
        <f>_xlfn.XLOOKUP(C183, customers!$A:$A, customers!$G:$G,,0)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f>INDEX(products!$A$1:$G$49,MATCH(orders!$D183,products!$A$1:$A$49,0),MATCH(orders!L$1,products!$A$1:$G$1,0))</f>
        <v>5.97</v>
      </c>
      <c r="M183">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cm="1">
        <f t="array" ref="F184">_xlfn.XLOOKUP(C184,customers!$A$1:$A1183,customers!$B$1:$B1183,,0)</f>
        <v>Anny Mundford</v>
      </c>
      <c r="G184" s="2" t="str">
        <f>IF(_xlfn.XLOOKUP(C184, customers!$A:$A, customers!$C:$C,,0)=0, "", _xlfn.XLOOKUP(C184, customers!$A:$A, customers!$C:$C,,0))</f>
        <v>amundford52@nbcnews.com</v>
      </c>
      <c r="H184" s="2" t="str">
        <f>_xlfn.XLOOKUP(C184, customers!$A:$A, customers!$G:$G,,0)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f>INDEX(products!$A$1:$G$49,MATCH(orders!$D184,products!$A$1:$A$49,0),MATCH(orders!L$1,products!$A$1:$G$1,0))</f>
        <v>5.3699999999999992</v>
      </c>
      <c r="M184">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cm="1">
        <f t="array" ref="F185">_xlfn.XLOOKUP(C185,customers!$A$1:$A1184,customers!$B$1:$B1184,,0)</f>
        <v>Tory Walas</v>
      </c>
      <c r="G185" s="2" t="str">
        <f>IF(_xlfn.XLOOKUP(C185, customers!$A:$A, customers!$C:$C,,0)=0, "", _xlfn.XLOOKUP(C185, customers!$A:$A, customers!$C:$C,,0))</f>
        <v>twalas53@google.ca</v>
      </c>
      <c r="H185" s="2" t="str">
        <f>_xlfn.XLOOKUP(C185, customers!$A:$A, customers!$G:$G,,0)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f>INDEX(products!$A$1:$G$49,MATCH(orders!$D185,products!$A$1:$A$49,0),MATCH(orders!L$1,products!$A$1:$G$1,0))</f>
        <v>4.125</v>
      </c>
      <c r="M18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cm="1">
        <f t="array" ref="F186">_xlfn.XLOOKUP(C186,customers!$A$1:$A1185,customers!$B$1:$B1185,,0)</f>
        <v>Isa Blazewicz</v>
      </c>
      <c r="G186" s="2" t="str">
        <f>IF(_xlfn.XLOOKUP(C186, customers!$A:$A, customers!$C:$C,,0)=0, "", _xlfn.XLOOKUP(C186, customers!$A:$A, customers!$C:$C,,0))</f>
        <v>iblazewicz54@thetimes.co.uk</v>
      </c>
      <c r="H186" s="2" t="str">
        <f>_xlfn.XLOOKUP(C186, customers!$A:$A, customers!$G:$G,,0)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f>INDEX(products!$A$1:$G$49,MATCH(orders!$D186,products!$A$1:$A$49,0),MATCH(orders!L$1,products!$A$1:$G$1,0))</f>
        <v>7.77</v>
      </c>
      <c r="M186">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cm="1">
        <f t="array" ref="F187">_xlfn.XLOOKUP(C187,customers!$A$1:$A1186,customers!$B$1:$B1186,,0)</f>
        <v>Angie Rizzetti</v>
      </c>
      <c r="G187" s="2" t="str">
        <f>IF(_xlfn.XLOOKUP(C187, customers!$A:$A, customers!$C:$C,,0)=0, "", _xlfn.XLOOKUP(C187, customers!$A:$A, customers!$C:$C,,0))</f>
        <v>arizzetti55@naver.com</v>
      </c>
      <c r="H187" s="2" t="str">
        <f>_xlfn.XLOOKUP(C187, customers!$A:$A, customers!$G:$G,,0)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f>INDEX(products!$A$1:$G$49,MATCH(orders!$D187,products!$A$1:$A$49,0),MATCH(orders!L$1,products!$A$1:$G$1,0))</f>
        <v>7.29</v>
      </c>
      <c r="M187">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cm="1">
        <f t="array" ref="F188">_xlfn.XLOOKUP(C188,customers!$A$1:$A1187,customers!$B$1:$B1187,,0)</f>
        <v>Mord Meriet</v>
      </c>
      <c r="G188" s="2" t="str">
        <f>IF(_xlfn.XLOOKUP(C188, customers!$A:$A, customers!$C:$C,,0)=0, "", _xlfn.XLOOKUP(C188, customers!$A:$A, customers!$C:$C,,0))</f>
        <v>mmeriet56@noaa.gov</v>
      </c>
      <c r="H188" s="2" t="str">
        <f>_xlfn.XLOOKUP(C188, customers!$A:$A, customers!$G:$G,,0)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f>INDEX(products!$A$1:$G$49,MATCH(orders!$D188,products!$A$1:$A$49,0),MATCH(orders!L$1,products!$A$1:$G$1,0))</f>
        <v>22.884999999999998</v>
      </c>
      <c r="M188">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cm="1">
        <f t="array" ref="F189">_xlfn.XLOOKUP(C189,customers!$A$1:$A1188,customers!$B$1:$B1188,,0)</f>
        <v>Lawrence Pratt</v>
      </c>
      <c r="G189" s="2" t="str">
        <f>IF(_xlfn.XLOOKUP(C189, customers!$A:$A, customers!$C:$C,,0)=0, "", _xlfn.XLOOKUP(C189, customers!$A:$A, customers!$C:$C,,0))</f>
        <v>lpratt57@netvibes.com</v>
      </c>
      <c r="H189" s="2" t="str">
        <f>_xlfn.XLOOKUP(C189, customers!$A:$A, customers!$G:$G,,0)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f>INDEX(products!$A$1:$G$49,MATCH(orders!$D189,products!$A$1:$A$49,0),MATCH(orders!L$1,products!$A$1:$G$1,0))</f>
        <v>8.73</v>
      </c>
      <c r="M189">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cm="1">
        <f t="array" ref="F190">_xlfn.XLOOKUP(C190,customers!$A$1:$A1189,customers!$B$1:$B1189,,0)</f>
        <v>Astrix Kitchingham</v>
      </c>
      <c r="G190" s="2" t="str">
        <f>IF(_xlfn.XLOOKUP(C190, customers!$A:$A, customers!$C:$C,,0)=0, "", _xlfn.XLOOKUP(C190, customers!$A:$A, customers!$C:$C,,0))</f>
        <v>akitchingham58@com.com</v>
      </c>
      <c r="H190" s="2" t="str">
        <f>_xlfn.XLOOKUP(C190, customers!$A:$A, customers!$G:$G,,0)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f>INDEX(products!$A$1:$G$49,MATCH(orders!$D190,products!$A$1:$A$49,0),MATCH(orders!L$1,products!$A$1:$G$1,0))</f>
        <v>4.4550000000000001</v>
      </c>
      <c r="M190">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cm="1">
        <f t="array" ref="F191">_xlfn.XLOOKUP(C191,customers!$A$1:$A1190,customers!$B$1:$B1190,,0)</f>
        <v>Burnard Bartholin</v>
      </c>
      <c r="G191" s="2" t="str">
        <f>IF(_xlfn.XLOOKUP(C191, customers!$A:$A, customers!$C:$C,,0)=0, "", _xlfn.XLOOKUP(C191, customers!$A:$A, customers!$C:$C,,0))</f>
        <v>bbartholin59@xinhuanet.com</v>
      </c>
      <c r="H191" s="2" t="str">
        <f>_xlfn.XLOOKUP(C191, customers!$A:$A, customers!$G:$G,,0)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f>INDEX(products!$A$1:$G$49,MATCH(orders!$D191,products!$A$1:$A$49,0),MATCH(orders!L$1,products!$A$1:$G$1,0))</f>
        <v>14.55</v>
      </c>
      <c r="M191">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cm="1">
        <f t="array" ref="F192">_xlfn.XLOOKUP(C192,customers!$A$1:$A1191,customers!$B$1:$B1191,,0)</f>
        <v>Madelene Prinn</v>
      </c>
      <c r="G192" s="2" t="str">
        <f>IF(_xlfn.XLOOKUP(C192, customers!$A:$A, customers!$C:$C,,0)=0, "", _xlfn.XLOOKUP(C192, customers!$A:$A, customers!$C:$C,,0))</f>
        <v>mprinn5a@usa.gov</v>
      </c>
      <c r="H192" s="2" t="str">
        <f>_xlfn.XLOOKUP(C192, customers!$A:$A, customers!$G:$G,,0)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f>INDEX(products!$A$1:$G$49,MATCH(orders!$D192,products!$A$1:$A$49,0),MATCH(orders!L$1,products!$A$1:$G$1,0))</f>
        <v>33.464999999999996</v>
      </c>
      <c r="M192">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cm="1">
        <f t="array" ref="F193">_xlfn.XLOOKUP(C193,customers!$A$1:$A1192,customers!$B$1:$B1192,,0)</f>
        <v>Alisun Baudino</v>
      </c>
      <c r="G193" s="2" t="str">
        <f>IF(_xlfn.XLOOKUP(C193, customers!$A:$A, customers!$C:$C,,0)=0, "", _xlfn.XLOOKUP(C193, customers!$A:$A, customers!$C:$C,,0))</f>
        <v>abaudino5b@netvibes.com</v>
      </c>
      <c r="H193" s="2" t="str">
        <f>_xlfn.XLOOKUP(C193, customers!$A:$A, customers!$G:$G,,0)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f>INDEX(products!$A$1:$G$49,MATCH(orders!$D193,products!$A$1:$A$49,0),MATCH(orders!L$1,products!$A$1:$G$1,0))</f>
        <v>3.8849999999999998</v>
      </c>
      <c r="M193">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cm="1">
        <f t="array" ref="F194">_xlfn.XLOOKUP(C194,customers!$A$1:$A1193,customers!$B$1:$B1193,,0)</f>
        <v>Philipa Petrushanko</v>
      </c>
      <c r="G194" s="2" t="str">
        <f>IF(_xlfn.XLOOKUP(C194, customers!$A:$A, customers!$C:$C,,0)=0, "", _xlfn.XLOOKUP(C194, customers!$A:$A, customers!$C:$C,,0))</f>
        <v>ppetrushanko5c@blinklist.com</v>
      </c>
      <c r="H194" s="2" t="str">
        <f>_xlfn.XLOOKUP(C194, customers!$A:$A, customers!$G:$G,,0)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f>INDEX(products!$A$1:$G$49,MATCH(orders!$D194,products!$A$1:$A$49,0),MATCH(orders!L$1,products!$A$1:$G$1,0))</f>
        <v>12.15</v>
      </c>
      <c r="M194">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cm="1">
        <f t="array" ref="F195">_xlfn.XLOOKUP(C195,customers!$A$1:$A1194,customers!$B$1:$B1194,,0)</f>
        <v>Kimberli Mustchin</v>
      </c>
      <c r="G195" s="2" t="str">
        <f>IF(_xlfn.XLOOKUP(C195, customers!$A:$A, customers!$C:$C,,0)=0, "", _xlfn.XLOOKUP(C195, customers!$A:$A, customers!$C:$C,,0))</f>
        <v/>
      </c>
      <c r="H195" s="2" t="str">
        <f>_xlfn.XLOOKUP(C195, customers!$A:$A, customers!$G:$G,,0)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f>INDEX(products!$A$1:$G$49,MATCH(orders!$D195,products!$A$1:$A$49,0),MATCH(orders!L$1,products!$A$1:$G$1,0))</f>
        <v>14.85</v>
      </c>
      <c r="M195">
        <f t="shared" ref="M195:M258" si="9">L195*E195</f>
        <v>44.55</v>
      </c>
      <c r="N195" t="str">
        <f t="shared" ref="N195:N258" si="10">IF(I195="Rob", "Robusta", IF(I195="Exc","Excelsa",IF(I195="Ara","Arabica", 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cm="1">
        <f t="array" ref="F196">_xlfn.XLOOKUP(C196,customers!$A$1:$A1195,customers!$B$1:$B1195,,0)</f>
        <v>Emlynne Laird</v>
      </c>
      <c r="G196" s="2" t="str">
        <f>IF(_xlfn.XLOOKUP(C196, customers!$A:$A, customers!$C:$C,,0)=0, "", _xlfn.XLOOKUP(C196, customers!$A:$A, customers!$C:$C,,0))</f>
        <v>elaird5e@bing.com</v>
      </c>
      <c r="H196" s="2" t="str">
        <f>_xlfn.XLOOKUP(C196, customers!$A:$A, customers!$G:$G,,0)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f>INDEX(products!$A$1:$G$49,MATCH(orders!$D196,products!$A$1:$A$49,0),MATCH(orders!L$1,products!$A$1:$G$1,0))</f>
        <v>7.29</v>
      </c>
      <c r="M196">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cm="1">
        <f t="array" ref="F197">_xlfn.XLOOKUP(C197,customers!$A$1:$A1196,customers!$B$1:$B1196,,0)</f>
        <v>Marlena Howsden</v>
      </c>
      <c r="G197" s="2" t="str">
        <f>IF(_xlfn.XLOOKUP(C197, customers!$A:$A, customers!$C:$C,,0)=0, "", _xlfn.XLOOKUP(C197, customers!$A:$A, customers!$C:$C,,0))</f>
        <v>mhowsden5f@infoseek.co.jp</v>
      </c>
      <c r="H197" s="2" t="str">
        <f>_xlfn.XLOOKUP(C197, customers!$A:$A, customers!$G:$G,,0)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f>INDEX(products!$A$1:$G$49,MATCH(orders!$D197,products!$A$1:$A$49,0),MATCH(orders!L$1,products!$A$1:$G$1,0))</f>
        <v>12.95</v>
      </c>
      <c r="M197">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cm="1">
        <f t="array" ref="F198">_xlfn.XLOOKUP(C198,customers!$A$1:$A1197,customers!$B$1:$B1197,,0)</f>
        <v>Nealson Cuttler</v>
      </c>
      <c r="G198" s="2" t="str">
        <f>IF(_xlfn.XLOOKUP(C198, customers!$A:$A, customers!$C:$C,,0)=0, "", _xlfn.XLOOKUP(C198, customers!$A:$A, customers!$C:$C,,0))</f>
        <v>ncuttler5g@parallels.com</v>
      </c>
      <c r="H198" s="2" t="str">
        <f>_xlfn.XLOOKUP(C198, customers!$A:$A, customers!$G:$G,,0)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f>INDEX(products!$A$1:$G$49,MATCH(orders!$D198,products!$A$1:$A$49,0),MATCH(orders!L$1,products!$A$1:$G$1,0))</f>
        <v>8.91</v>
      </c>
      <c r="M198">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cm="1">
        <f t="array" ref="F199">_xlfn.XLOOKUP(C199,customers!$A$1:$A1198,customers!$B$1:$B1198,,0)</f>
        <v>Nealson Cuttler</v>
      </c>
      <c r="G199" s="2" t="str">
        <f>IF(_xlfn.XLOOKUP(C199, customers!$A:$A, customers!$C:$C,,0)=0, "", _xlfn.XLOOKUP(C199, customers!$A:$A, customers!$C:$C,,0))</f>
        <v>ncuttler5g@parallels.com</v>
      </c>
      <c r="H199" s="2" t="str">
        <f>_xlfn.XLOOKUP(C199, customers!$A:$A, customers!$G:$G,,0)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f>INDEX(products!$A$1:$G$49,MATCH(orders!$D199,products!$A$1:$A$49,0),MATCH(orders!L$1,products!$A$1:$G$1,0))</f>
        <v>29.784999999999997</v>
      </c>
      <c r="M199">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cm="1">
        <f t="array" ref="F200">_xlfn.XLOOKUP(C200,customers!$A$1:$A1199,customers!$B$1:$B1199,,0)</f>
        <v>Nealson Cuttler</v>
      </c>
      <c r="G200" s="2" t="str">
        <f>IF(_xlfn.XLOOKUP(C200, customers!$A:$A, customers!$C:$C,,0)=0, "", _xlfn.XLOOKUP(C200, customers!$A:$A, customers!$C:$C,,0))</f>
        <v>ncuttler5g@parallels.com</v>
      </c>
      <c r="H200" s="2" t="str">
        <f>_xlfn.XLOOKUP(C200, customers!$A:$A, customers!$G:$G,,0)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f>INDEX(products!$A$1:$G$49,MATCH(orders!$D200,products!$A$1:$A$49,0),MATCH(orders!L$1,products!$A$1:$G$1,0))</f>
        <v>29.784999999999997</v>
      </c>
      <c r="M200">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cm="1">
        <f t="array" ref="F201">_xlfn.XLOOKUP(C201,customers!$A$1:$A1200,customers!$B$1:$B1200,,0)</f>
        <v>Nealson Cuttler</v>
      </c>
      <c r="G201" s="2" t="str">
        <f>IF(_xlfn.XLOOKUP(C201, customers!$A:$A, customers!$C:$C,,0)=0, "", _xlfn.XLOOKUP(C201, customers!$A:$A, customers!$C:$C,,0))</f>
        <v>ncuttler5g@parallels.com</v>
      </c>
      <c r="H201" s="2" t="str">
        <f>_xlfn.XLOOKUP(C201, customers!$A:$A, customers!$G:$G,,0)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f>INDEX(products!$A$1:$G$49,MATCH(orders!$D201,products!$A$1:$A$49,0),MATCH(orders!L$1,products!$A$1:$G$1,0))</f>
        <v>9.51</v>
      </c>
      <c r="M201">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cm="1">
        <f t="array" ref="F202">_xlfn.XLOOKUP(C202,customers!$A$1:$A1201,customers!$B$1:$B1201,,0)</f>
        <v>Nealson Cuttler</v>
      </c>
      <c r="G202" s="2" t="str">
        <f>IF(_xlfn.XLOOKUP(C202, customers!$A:$A, customers!$C:$C,,0)=0, "", _xlfn.XLOOKUP(C202, customers!$A:$A, customers!$C:$C,,0))</f>
        <v>ncuttler5g@parallels.com</v>
      </c>
      <c r="H202" s="2" t="str">
        <f>_xlfn.XLOOKUP(C202, customers!$A:$A, customers!$G:$G,,0)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f>INDEX(products!$A$1:$G$49,MATCH(orders!$D202,products!$A$1:$A$49,0),MATCH(orders!L$1,products!$A$1:$G$1,0))</f>
        <v>13.75</v>
      </c>
      <c r="M202">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cm="1">
        <f t="array" ref="F203">_xlfn.XLOOKUP(C203,customers!$A$1:$A1202,customers!$B$1:$B1202,,0)</f>
        <v>Adriana Lazarus</v>
      </c>
      <c r="G203" s="2" t="str">
        <f>IF(_xlfn.XLOOKUP(C203, customers!$A:$A, customers!$C:$C,,0)=0, "", _xlfn.XLOOKUP(C203, customers!$A:$A, customers!$C:$C,,0))</f>
        <v/>
      </c>
      <c r="H203" s="2" t="str">
        <f>_xlfn.XLOOKUP(C203, customers!$A:$A, customers!$G:$G,,0)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f>INDEX(products!$A$1:$G$49,MATCH(orders!$D203,products!$A$1:$A$49,0),MATCH(orders!L$1,products!$A$1:$G$1,0))</f>
        <v>9.51</v>
      </c>
      <c r="M203">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cm="1">
        <f t="array" ref="F204">_xlfn.XLOOKUP(C204,customers!$A$1:$A1203,customers!$B$1:$B1203,,0)</f>
        <v>Tallie felip</v>
      </c>
      <c r="G204" s="2" t="str">
        <f>IF(_xlfn.XLOOKUP(C204, customers!$A:$A, customers!$C:$C,,0)=0, "", _xlfn.XLOOKUP(C204, customers!$A:$A, customers!$C:$C,,0))</f>
        <v>tfelip5m@typepad.com</v>
      </c>
      <c r="H204" s="2" t="str">
        <f>_xlfn.XLOOKUP(C204, customers!$A:$A, customers!$G:$G,,0)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f>INDEX(products!$A$1:$G$49,MATCH(orders!$D204,products!$A$1:$A$49,0),MATCH(orders!L$1,products!$A$1:$G$1,0))</f>
        <v>29.784999999999997</v>
      </c>
      <c r="M204">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cm="1">
        <f t="array" ref="F205">_xlfn.XLOOKUP(C205,customers!$A$1:$A1204,customers!$B$1:$B1204,,0)</f>
        <v>Vanna Le - Count</v>
      </c>
      <c r="G205" s="2" t="str">
        <f>IF(_xlfn.XLOOKUP(C205, customers!$A:$A, customers!$C:$C,,0)=0, "", _xlfn.XLOOKUP(C205, customers!$A:$A, customers!$C:$C,,0))</f>
        <v>vle5n@disqus.com</v>
      </c>
      <c r="H205" s="2" t="str">
        <f>_xlfn.XLOOKUP(C205, customers!$A:$A, customers!$G:$G,,0)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f>INDEX(products!$A$1:$G$49,MATCH(orders!$D205,products!$A$1:$A$49,0),MATCH(orders!L$1,products!$A$1:$G$1,0))</f>
        <v>4.7549999999999999</v>
      </c>
      <c r="M20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cm="1">
        <f t="array" ref="F206">_xlfn.XLOOKUP(C206,customers!$A$1:$A1205,customers!$B$1:$B1205,,0)</f>
        <v>Sarette Ducarel</v>
      </c>
      <c r="G206" s="2" t="str">
        <f>IF(_xlfn.XLOOKUP(C206, customers!$A:$A, customers!$C:$C,,0)=0, "", _xlfn.XLOOKUP(C206, customers!$A:$A, customers!$C:$C,,0))</f>
        <v/>
      </c>
      <c r="H206" s="2" t="str">
        <f>_xlfn.XLOOKUP(C206, customers!$A:$A, customers!$G:$G,,0)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f>INDEX(products!$A$1:$G$49,MATCH(orders!$D206,products!$A$1:$A$49,0),MATCH(orders!L$1,products!$A$1:$G$1,0))</f>
        <v>13.75</v>
      </c>
      <c r="M206">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cm="1">
        <f t="array" ref="F207">_xlfn.XLOOKUP(C207,customers!$A$1:$A1206,customers!$B$1:$B1206,,0)</f>
        <v>Kendra Glison</v>
      </c>
      <c r="G207" s="2" t="str">
        <f>IF(_xlfn.XLOOKUP(C207, customers!$A:$A, customers!$C:$C,,0)=0, "", _xlfn.XLOOKUP(C207, customers!$A:$A, customers!$C:$C,,0))</f>
        <v/>
      </c>
      <c r="H207" s="2" t="str">
        <f>_xlfn.XLOOKUP(C207, customers!$A:$A, customers!$G:$G,,0)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f>INDEX(products!$A$1:$G$49,MATCH(orders!$D207,products!$A$1:$A$49,0),MATCH(orders!L$1,products!$A$1:$G$1,0))</f>
        <v>2.6849999999999996</v>
      </c>
      <c r="M207">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cm="1">
        <f t="array" ref="F208">_xlfn.XLOOKUP(C208,customers!$A$1:$A1207,customers!$B$1:$B1207,,0)</f>
        <v>Nertie Poolman</v>
      </c>
      <c r="G208" s="2" t="str">
        <f>IF(_xlfn.XLOOKUP(C208, customers!$A:$A, customers!$C:$C,,0)=0, "", _xlfn.XLOOKUP(C208, customers!$A:$A, customers!$C:$C,,0))</f>
        <v>npoolman5q@howstuffworks.com</v>
      </c>
      <c r="H208" s="2" t="str">
        <f>_xlfn.XLOOKUP(C208, customers!$A:$A, customers!$G:$G,,0)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f>INDEX(products!$A$1:$G$49,MATCH(orders!$D208,products!$A$1:$A$49,0),MATCH(orders!L$1,products!$A$1:$G$1,0))</f>
        <v>11.25</v>
      </c>
      <c r="M208">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cm="1">
        <f t="array" ref="F209">_xlfn.XLOOKUP(C209,customers!$A$1:$A1208,customers!$B$1:$B1208,,0)</f>
        <v>Orbadiah Duny</v>
      </c>
      <c r="G209" s="2" t="str">
        <f>IF(_xlfn.XLOOKUP(C209, customers!$A:$A, customers!$C:$C,,0)=0, "", _xlfn.XLOOKUP(C209, customers!$A:$A, customers!$C:$C,,0))</f>
        <v>oduny5r@constantcontact.com</v>
      </c>
      <c r="H209" s="2" t="str">
        <f>_xlfn.XLOOKUP(C209, customers!$A:$A, customers!$G:$G,,0)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f>INDEX(products!$A$1:$G$49,MATCH(orders!$D209,products!$A$1:$A$49,0),MATCH(orders!L$1,products!$A$1:$G$1,0))</f>
        <v>6.75</v>
      </c>
      <c r="M209">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cm="1">
        <f t="array" ref="F210">_xlfn.XLOOKUP(C210,customers!$A$1:$A1209,customers!$B$1:$B1209,,0)</f>
        <v>Constance Halfhide</v>
      </c>
      <c r="G210" s="2" t="str">
        <f>IF(_xlfn.XLOOKUP(C210, customers!$A:$A, customers!$C:$C,,0)=0, "", _xlfn.XLOOKUP(C210, customers!$A:$A, customers!$C:$C,,0))</f>
        <v>chalfhide5s@google.ru</v>
      </c>
      <c r="H210" s="2" t="str">
        <f>_xlfn.XLOOKUP(C210, customers!$A:$A, customers!$G:$G,,0)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f>INDEX(products!$A$1:$G$49,MATCH(orders!$D210,products!$A$1:$A$49,0),MATCH(orders!L$1,products!$A$1:$G$1,0))</f>
        <v>7.29</v>
      </c>
      <c r="M210">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cm="1">
        <f t="array" ref="F211">_xlfn.XLOOKUP(C211,customers!$A$1:$A1210,customers!$B$1:$B1210,,0)</f>
        <v>Fransisco Malecky</v>
      </c>
      <c r="G211" s="2" t="str">
        <f>IF(_xlfn.XLOOKUP(C211, customers!$A:$A, customers!$C:$C,,0)=0, "", _xlfn.XLOOKUP(C211, customers!$A:$A, customers!$C:$C,,0))</f>
        <v>fmalecky5t@list-manage.com</v>
      </c>
      <c r="H211" s="2" t="str">
        <f>_xlfn.XLOOKUP(C211, customers!$A:$A, customers!$G:$G,,0)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f>INDEX(products!$A$1:$G$49,MATCH(orders!$D211,products!$A$1:$A$49,0),MATCH(orders!L$1,products!$A$1:$G$1,0))</f>
        <v>6.75</v>
      </c>
      <c r="M211">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cm="1">
        <f t="array" ref="F212">_xlfn.XLOOKUP(C212,customers!$A$1:$A1211,customers!$B$1:$B1211,,0)</f>
        <v>Anselma Attwater</v>
      </c>
      <c r="G212" s="2" t="str">
        <f>IF(_xlfn.XLOOKUP(C212, customers!$A:$A, customers!$C:$C,,0)=0, "", _xlfn.XLOOKUP(C212, customers!$A:$A, customers!$C:$C,,0))</f>
        <v>aattwater5u@wikia.com</v>
      </c>
      <c r="H212" s="2" t="str">
        <f>_xlfn.XLOOKUP(C212, customers!$A:$A, customers!$G:$G,,0)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f>INDEX(products!$A$1:$G$49,MATCH(orders!$D212,products!$A$1:$A$49,0),MATCH(orders!L$1,products!$A$1:$G$1,0))</f>
        <v>12.95</v>
      </c>
      <c r="M212">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cm="1">
        <f t="array" ref="F213">_xlfn.XLOOKUP(C213,customers!$A$1:$A1212,customers!$B$1:$B1212,,0)</f>
        <v>Minette Whellans</v>
      </c>
      <c r="G213" s="2" t="str">
        <f>IF(_xlfn.XLOOKUP(C213, customers!$A:$A, customers!$C:$C,,0)=0, "", _xlfn.XLOOKUP(C213, customers!$A:$A, customers!$C:$C,,0))</f>
        <v>mwhellans5v@mapquest.com</v>
      </c>
      <c r="H213" s="2" t="str">
        <f>_xlfn.XLOOKUP(C213, customers!$A:$A, customers!$G:$G,,0)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f>INDEX(products!$A$1:$G$49,MATCH(orders!$D213,products!$A$1:$A$49,0),MATCH(orders!L$1,products!$A$1:$G$1,0))</f>
        <v>8.91</v>
      </c>
      <c r="M213">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cm="1">
        <f t="array" ref="F214">_xlfn.XLOOKUP(C214,customers!$A$1:$A1213,customers!$B$1:$B1213,,0)</f>
        <v>Dael Camilletti</v>
      </c>
      <c r="G214" s="2" t="str">
        <f>IF(_xlfn.XLOOKUP(C214, customers!$A:$A, customers!$C:$C,,0)=0, "", _xlfn.XLOOKUP(C214, customers!$A:$A, customers!$C:$C,,0))</f>
        <v>dcamilletti5w@businesswire.com</v>
      </c>
      <c r="H214" s="2" t="str">
        <f>_xlfn.XLOOKUP(C214, customers!$A:$A, customers!$G:$G,,0)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f>INDEX(products!$A$1:$G$49,MATCH(orders!$D214,products!$A$1:$A$49,0),MATCH(orders!L$1,products!$A$1:$G$1,0))</f>
        <v>3.645</v>
      </c>
      <c r="M214">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cm="1">
        <f t="array" ref="F215">_xlfn.XLOOKUP(C215,customers!$A$1:$A1214,customers!$B$1:$B1214,,0)</f>
        <v>Emiline Galgey</v>
      </c>
      <c r="G215" s="2" t="str">
        <f>IF(_xlfn.XLOOKUP(C215, customers!$A:$A, customers!$C:$C,,0)=0, "", _xlfn.XLOOKUP(C215, customers!$A:$A, customers!$C:$C,,0))</f>
        <v>egalgey5x@wufoo.com</v>
      </c>
      <c r="H215" s="2" t="str">
        <f>_xlfn.XLOOKUP(C215, customers!$A:$A, customers!$G:$G,,0)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f>INDEX(products!$A$1:$G$49,MATCH(orders!$D215,products!$A$1:$A$49,0),MATCH(orders!L$1,products!$A$1:$G$1,0))</f>
        <v>20.584999999999997</v>
      </c>
      <c r="M21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cm="1">
        <f t="array" ref="F216">_xlfn.XLOOKUP(C216,customers!$A$1:$A1215,customers!$B$1:$B1215,,0)</f>
        <v>Murdock Hame</v>
      </c>
      <c r="G216" s="2" t="str">
        <f>IF(_xlfn.XLOOKUP(C216, customers!$A:$A, customers!$C:$C,,0)=0, "", _xlfn.XLOOKUP(C216, customers!$A:$A, customers!$C:$C,,0))</f>
        <v>mhame5y@newsvine.com</v>
      </c>
      <c r="H216" s="2" t="str">
        <f>_xlfn.XLOOKUP(C216, customers!$A:$A, customers!$G:$G,,0)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f>INDEX(products!$A$1:$G$49,MATCH(orders!$D216,products!$A$1:$A$49,0),MATCH(orders!L$1,products!$A$1:$G$1,0))</f>
        <v>15.85</v>
      </c>
      <c r="M216">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cm="1">
        <f t="array" ref="F217">_xlfn.XLOOKUP(C217,customers!$A$1:$A1216,customers!$B$1:$B1216,,0)</f>
        <v>Ilka Gurnee</v>
      </c>
      <c r="G217" s="2" t="str">
        <f>IF(_xlfn.XLOOKUP(C217, customers!$A:$A, customers!$C:$C,,0)=0, "", _xlfn.XLOOKUP(C217, customers!$A:$A, customers!$C:$C,,0))</f>
        <v>igurnee5z@usnews.com</v>
      </c>
      <c r="H217" s="2" t="str">
        <f>_xlfn.XLOOKUP(C217, customers!$A:$A, customers!$G:$G,,0)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f>INDEX(products!$A$1:$G$49,MATCH(orders!$D217,products!$A$1:$A$49,0),MATCH(orders!L$1,products!$A$1:$G$1,0))</f>
        <v>3.8849999999999998</v>
      </c>
      <c r="M217">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cm="1">
        <f t="array" ref="F218">_xlfn.XLOOKUP(C218,customers!$A$1:$A1217,customers!$B$1:$B1217,,0)</f>
        <v>Alfy Snowding</v>
      </c>
      <c r="G218" s="2" t="str">
        <f>IF(_xlfn.XLOOKUP(C218, customers!$A:$A, customers!$C:$C,,0)=0, "", _xlfn.XLOOKUP(C218, customers!$A:$A, customers!$C:$C,,0))</f>
        <v>asnowding60@comsenz.com</v>
      </c>
      <c r="H218" s="2" t="str">
        <f>_xlfn.XLOOKUP(C218, customers!$A:$A, customers!$G:$G,,0)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f>INDEX(products!$A$1:$G$49,MATCH(orders!$D218,products!$A$1:$A$49,0),MATCH(orders!L$1,products!$A$1:$G$1,0))</f>
        <v>14.55</v>
      </c>
      <c r="M218">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cm="1">
        <f t="array" ref="F219">_xlfn.XLOOKUP(C219,customers!$A$1:$A1218,customers!$B$1:$B1218,,0)</f>
        <v>Godfry Poinsett</v>
      </c>
      <c r="G219" s="2" t="str">
        <f>IF(_xlfn.XLOOKUP(C219, customers!$A:$A, customers!$C:$C,,0)=0, "", _xlfn.XLOOKUP(C219, customers!$A:$A, customers!$C:$C,,0))</f>
        <v>gpoinsett61@berkeley.edu</v>
      </c>
      <c r="H219" s="2" t="str">
        <f>_xlfn.XLOOKUP(C219, customers!$A:$A, customers!$G:$G,,0)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f>INDEX(products!$A$1:$G$49,MATCH(orders!$D219,products!$A$1:$A$49,0),MATCH(orders!L$1,products!$A$1:$G$1,0))</f>
        <v>8.91</v>
      </c>
      <c r="M219">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cm="1">
        <f t="array" ref="F220">_xlfn.XLOOKUP(C220,customers!$A$1:$A1219,customers!$B$1:$B1219,,0)</f>
        <v>Rem Furman</v>
      </c>
      <c r="G220" s="2" t="str">
        <f>IF(_xlfn.XLOOKUP(C220, customers!$A:$A, customers!$C:$C,,0)=0, "", _xlfn.XLOOKUP(C220, customers!$A:$A, customers!$C:$C,,0))</f>
        <v>rfurman62@t.co</v>
      </c>
      <c r="H220" s="2" t="str">
        <f>_xlfn.XLOOKUP(C220, customers!$A:$A, customers!$G:$G,,0)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f>INDEX(products!$A$1:$G$49,MATCH(orders!$D220,products!$A$1:$A$49,0),MATCH(orders!L$1,products!$A$1:$G$1,0))</f>
        <v>11.25</v>
      </c>
      <c r="M220">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cm="1">
        <f t="array" ref="F221">_xlfn.XLOOKUP(C221,customers!$A$1:$A1220,customers!$B$1:$B1220,,0)</f>
        <v>Charis Crosier</v>
      </c>
      <c r="G221" s="2" t="str">
        <f>IF(_xlfn.XLOOKUP(C221, customers!$A:$A, customers!$C:$C,,0)=0, "", _xlfn.XLOOKUP(C221, customers!$A:$A, customers!$C:$C,,0))</f>
        <v>ccrosier63@xrea.com</v>
      </c>
      <c r="H221" s="2" t="str">
        <f>_xlfn.XLOOKUP(C221, customers!$A:$A, customers!$G:$G,,0)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f>INDEX(products!$A$1:$G$49,MATCH(orders!$D221,products!$A$1:$A$49,0),MATCH(orders!L$1,products!$A$1:$G$1,0))</f>
        <v>3.5849999999999995</v>
      </c>
      <c r="M221">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cm="1">
        <f t="array" ref="F222">_xlfn.XLOOKUP(C222,customers!$A$1:$A1221,customers!$B$1:$B1221,,0)</f>
        <v>Charis Crosier</v>
      </c>
      <c r="G222" s="2" t="str">
        <f>IF(_xlfn.XLOOKUP(C222, customers!$A:$A, customers!$C:$C,,0)=0, "", _xlfn.XLOOKUP(C222, customers!$A:$A, customers!$C:$C,,0))</f>
        <v>ccrosier63@xrea.com</v>
      </c>
      <c r="H222" s="2" t="str">
        <f>_xlfn.XLOOKUP(C222, customers!$A:$A, customers!$G:$G,,0)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f>INDEX(products!$A$1:$G$49,MATCH(orders!$D222,products!$A$1:$A$49,0),MATCH(orders!L$1,products!$A$1:$G$1,0))</f>
        <v>2.9849999999999999</v>
      </c>
      <c r="M222">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cm="1">
        <f t="array" ref="F223">_xlfn.XLOOKUP(C223,customers!$A$1:$A1222,customers!$B$1:$B1222,,0)</f>
        <v>Lenka Rushmer</v>
      </c>
      <c r="G223" s="2" t="str">
        <f>IF(_xlfn.XLOOKUP(C223, customers!$A:$A, customers!$C:$C,,0)=0, "", _xlfn.XLOOKUP(C223, customers!$A:$A, customers!$C:$C,,0))</f>
        <v>lrushmer65@europa.eu</v>
      </c>
      <c r="H223" s="2" t="str">
        <f>_xlfn.XLOOKUP(C223, customers!$A:$A, customers!$G:$G,,0)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f>INDEX(products!$A$1:$G$49,MATCH(orders!$D223,products!$A$1:$A$49,0),MATCH(orders!L$1,products!$A$1:$G$1,0))</f>
        <v>12.95</v>
      </c>
      <c r="M223">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cm="1">
        <f t="array" ref="F224">_xlfn.XLOOKUP(C224,customers!$A$1:$A1223,customers!$B$1:$B1223,,0)</f>
        <v>Waneta Edinborough</v>
      </c>
      <c r="G224" s="2" t="str">
        <f>IF(_xlfn.XLOOKUP(C224, customers!$A:$A, customers!$C:$C,,0)=0, "", _xlfn.XLOOKUP(C224, customers!$A:$A, customers!$C:$C,,0))</f>
        <v>wedinborough66@github.io</v>
      </c>
      <c r="H224" s="2" t="str">
        <f>_xlfn.XLOOKUP(C224, customers!$A:$A, customers!$G:$G,,0)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f>INDEX(products!$A$1:$G$49,MATCH(orders!$D224,products!$A$1:$A$49,0),MATCH(orders!L$1,products!$A$1:$G$1,0))</f>
        <v>7.77</v>
      </c>
      <c r="M224">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cm="1">
        <f t="array" ref="F225">_xlfn.XLOOKUP(C225,customers!$A$1:$A1224,customers!$B$1:$B1224,,0)</f>
        <v>Bobbe Piggott</v>
      </c>
      <c r="G225" s="2" t="str">
        <f>IF(_xlfn.XLOOKUP(C225, customers!$A:$A, customers!$C:$C,,0)=0, "", _xlfn.XLOOKUP(C225, customers!$A:$A, customers!$C:$C,,0))</f>
        <v/>
      </c>
      <c r="H225" s="2" t="str">
        <f>_xlfn.XLOOKUP(C225, customers!$A:$A, customers!$G:$G,,0)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f>INDEX(products!$A$1:$G$49,MATCH(orders!$D225,products!$A$1:$A$49,0),MATCH(orders!L$1,products!$A$1:$G$1,0))</f>
        <v>14.85</v>
      </c>
      <c r="M22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cm="1">
        <f t="array" ref="F226">_xlfn.XLOOKUP(C226,customers!$A$1:$A1225,customers!$B$1:$B1225,,0)</f>
        <v>Ketty Bromehead</v>
      </c>
      <c r="G226" s="2" t="str">
        <f>IF(_xlfn.XLOOKUP(C226, customers!$A:$A, customers!$C:$C,,0)=0, "", _xlfn.XLOOKUP(C226, customers!$A:$A, customers!$C:$C,,0))</f>
        <v>kbromehead68@un.org</v>
      </c>
      <c r="H226" s="2" t="str">
        <f>_xlfn.XLOOKUP(C226, customers!$A:$A, customers!$G:$G,,0)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f>INDEX(products!$A$1:$G$49,MATCH(orders!$D226,products!$A$1:$A$49,0),MATCH(orders!L$1,products!$A$1:$G$1,0))</f>
        <v>29.784999999999997</v>
      </c>
      <c r="M226">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cm="1">
        <f t="array" ref="F227">_xlfn.XLOOKUP(C227,customers!$A$1:$A1226,customers!$B$1:$B1226,,0)</f>
        <v>Elsbeth Westerman</v>
      </c>
      <c r="G227" s="2" t="str">
        <f>IF(_xlfn.XLOOKUP(C227, customers!$A:$A, customers!$C:$C,,0)=0, "", _xlfn.XLOOKUP(C227, customers!$A:$A, customers!$C:$C,,0))</f>
        <v>ewesterman69@si.edu</v>
      </c>
      <c r="H227" s="2" t="str">
        <f>_xlfn.XLOOKUP(C227, customers!$A:$A, customers!$G:$G,,0)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f>INDEX(products!$A$1:$G$49,MATCH(orders!$D227,products!$A$1:$A$49,0),MATCH(orders!L$1,products!$A$1:$G$1,0))</f>
        <v>3.5849999999999995</v>
      </c>
      <c r="M227">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cm="1">
        <f t="array" ref="F228">_xlfn.XLOOKUP(C228,customers!$A$1:$A1227,customers!$B$1:$B1227,,0)</f>
        <v>Anabelle Hutchens</v>
      </c>
      <c r="G228" s="2" t="str">
        <f>IF(_xlfn.XLOOKUP(C228, customers!$A:$A, customers!$C:$C,,0)=0, "", _xlfn.XLOOKUP(C228, customers!$A:$A, customers!$C:$C,,0))</f>
        <v>ahutchens6a@amazonaws.com</v>
      </c>
      <c r="H228" s="2" t="str">
        <f>_xlfn.XLOOKUP(C228, customers!$A:$A, customers!$G:$G,,0)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f>INDEX(products!$A$1:$G$49,MATCH(orders!$D228,products!$A$1:$A$49,0),MATCH(orders!L$1,products!$A$1:$G$1,0))</f>
        <v>25.874999999999996</v>
      </c>
      <c r="M228">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cm="1">
        <f t="array" ref="F229">_xlfn.XLOOKUP(C229,customers!$A$1:$A1228,customers!$B$1:$B1228,,0)</f>
        <v>Noak Wyvill</v>
      </c>
      <c r="G229" s="2" t="str">
        <f>IF(_xlfn.XLOOKUP(C229, customers!$A:$A, customers!$C:$C,,0)=0, "", _xlfn.XLOOKUP(C229, customers!$A:$A, customers!$C:$C,,0))</f>
        <v>nwyvill6b@naver.com</v>
      </c>
      <c r="H229" s="2" t="str">
        <f>_xlfn.XLOOKUP(C229, customers!$A:$A, customers!$G:$G,,0)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f>INDEX(products!$A$1:$G$49,MATCH(orders!$D229,products!$A$1:$A$49,0),MATCH(orders!L$1,products!$A$1:$G$1,0))</f>
        <v>2.6849999999999996</v>
      </c>
      <c r="M229">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cm="1">
        <f t="array" ref="F230">_xlfn.XLOOKUP(C230,customers!$A$1:$A1229,customers!$B$1:$B1229,,0)</f>
        <v>Beltran Mathon</v>
      </c>
      <c r="G230" s="2" t="str">
        <f>IF(_xlfn.XLOOKUP(C230, customers!$A:$A, customers!$C:$C,,0)=0, "", _xlfn.XLOOKUP(C230, customers!$A:$A, customers!$C:$C,,0))</f>
        <v>bmathon6c@barnesandnoble.com</v>
      </c>
      <c r="H230" s="2" t="str">
        <f>_xlfn.XLOOKUP(C230, customers!$A:$A, customers!$G:$G,,0)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f>INDEX(products!$A$1:$G$49,MATCH(orders!$D230,products!$A$1:$A$49,0),MATCH(orders!L$1,products!$A$1:$G$1,0))</f>
        <v>3.5849999999999995</v>
      </c>
      <c r="M230">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cm="1">
        <f t="array" ref="F231">_xlfn.XLOOKUP(C231,customers!$A$1:$A1230,customers!$B$1:$B1230,,0)</f>
        <v>Kristos Streight</v>
      </c>
      <c r="G231" s="2" t="str">
        <f>IF(_xlfn.XLOOKUP(C231, customers!$A:$A, customers!$C:$C,,0)=0, "", _xlfn.XLOOKUP(C231, customers!$A:$A, customers!$C:$C,,0))</f>
        <v>kstreight6d@about.com</v>
      </c>
      <c r="H231" s="2" t="str">
        <f>_xlfn.XLOOKUP(C231, customers!$A:$A, customers!$G:$G,,0)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f>INDEX(products!$A$1:$G$49,MATCH(orders!$D231,products!$A$1:$A$49,0),MATCH(orders!L$1,products!$A$1:$G$1,0))</f>
        <v>4.3650000000000002</v>
      </c>
      <c r="M231">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cm="1">
        <f t="array" ref="F232">_xlfn.XLOOKUP(C232,customers!$A$1:$A1231,customers!$B$1:$B1231,,0)</f>
        <v>Portie Cutchie</v>
      </c>
      <c r="G232" s="2" t="str">
        <f>IF(_xlfn.XLOOKUP(C232, customers!$A:$A, customers!$C:$C,,0)=0, "", _xlfn.XLOOKUP(C232, customers!$A:$A, customers!$C:$C,,0))</f>
        <v>pcutchie6e@globo.com</v>
      </c>
      <c r="H232" s="2" t="str">
        <f>_xlfn.XLOOKUP(C232, customers!$A:$A, customers!$G:$G,,0)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f>INDEX(products!$A$1:$G$49,MATCH(orders!$D232,products!$A$1:$A$49,0),MATCH(orders!L$1,products!$A$1:$G$1,0))</f>
        <v>25.874999999999996</v>
      </c>
      <c r="M232">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cm="1">
        <f t="array" ref="F233">_xlfn.XLOOKUP(C233,customers!$A$1:$A1232,customers!$B$1:$B1232,,0)</f>
        <v>Sinclare Edsell</v>
      </c>
      <c r="G233" s="2" t="str">
        <f>IF(_xlfn.XLOOKUP(C233, customers!$A:$A, customers!$C:$C,,0)=0, "", _xlfn.XLOOKUP(C233, customers!$A:$A, customers!$C:$C,,0))</f>
        <v/>
      </c>
      <c r="H233" s="2" t="str">
        <f>_xlfn.XLOOKUP(C233, customers!$A:$A, customers!$G:$G,,0)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f>INDEX(products!$A$1:$G$49,MATCH(orders!$D233,products!$A$1:$A$49,0),MATCH(orders!L$1,products!$A$1:$G$1,0))</f>
        <v>4.3650000000000002</v>
      </c>
      <c r="M233">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cm="1">
        <f t="array" ref="F234">_xlfn.XLOOKUP(C234,customers!$A$1:$A1233,customers!$B$1:$B1233,,0)</f>
        <v>Conny Gheraldi</v>
      </c>
      <c r="G234" s="2" t="str">
        <f>IF(_xlfn.XLOOKUP(C234, customers!$A:$A, customers!$C:$C,,0)=0, "", _xlfn.XLOOKUP(C234, customers!$A:$A, customers!$C:$C,,0))</f>
        <v>cgheraldi6g@opera.com</v>
      </c>
      <c r="H234" s="2" t="str">
        <f>_xlfn.XLOOKUP(C234, customers!$A:$A, customers!$G:$G,,0)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f>INDEX(products!$A$1:$G$49,MATCH(orders!$D234,products!$A$1:$A$49,0),MATCH(orders!L$1,products!$A$1:$G$1,0))</f>
        <v>4.7549999999999999</v>
      </c>
      <c r="M234">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cm="1">
        <f t="array" ref="F235">_xlfn.XLOOKUP(C235,customers!$A$1:$A1234,customers!$B$1:$B1234,,0)</f>
        <v>Beryle Kenwell</v>
      </c>
      <c r="G235" s="2" t="str">
        <f>IF(_xlfn.XLOOKUP(C235, customers!$A:$A, customers!$C:$C,,0)=0, "", _xlfn.XLOOKUP(C235, customers!$A:$A, customers!$C:$C,,0))</f>
        <v>bkenwell6h@over-blog.com</v>
      </c>
      <c r="H235" s="2" t="str">
        <f>_xlfn.XLOOKUP(C235, customers!$A:$A, customers!$G:$G,,0)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f>INDEX(products!$A$1:$G$49,MATCH(orders!$D235,products!$A$1:$A$49,0),MATCH(orders!L$1,products!$A$1:$G$1,0))</f>
        <v>4.125</v>
      </c>
      <c r="M23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cm="1">
        <f t="array" ref="F236">_xlfn.XLOOKUP(C236,customers!$A$1:$A1235,customers!$B$1:$B1235,,0)</f>
        <v>Tomas Sutty</v>
      </c>
      <c r="G236" s="2" t="str">
        <f>IF(_xlfn.XLOOKUP(C236, customers!$A:$A, customers!$C:$C,,0)=0, "", _xlfn.XLOOKUP(C236, customers!$A:$A, customers!$C:$C,,0))</f>
        <v>tsutty6i@google.es</v>
      </c>
      <c r="H236" s="2" t="str">
        <f>_xlfn.XLOOKUP(C236, customers!$A:$A, customers!$G:$G,,0)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f>INDEX(products!$A$1:$G$49,MATCH(orders!$D236,products!$A$1:$A$49,0),MATCH(orders!L$1,products!$A$1:$G$1,0))</f>
        <v>36.454999999999998</v>
      </c>
      <c r="M236">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cm="1">
        <f t="array" ref="F237">_xlfn.XLOOKUP(C237,customers!$A$1:$A1236,customers!$B$1:$B1236,,0)</f>
        <v>Samuele Ales0</v>
      </c>
      <c r="G237" s="2" t="str">
        <f>IF(_xlfn.XLOOKUP(C237, customers!$A:$A, customers!$C:$C,,0)=0, "", _xlfn.XLOOKUP(C237, customers!$A:$A, customers!$C:$C,,0))</f>
        <v/>
      </c>
      <c r="H237" s="2" t="str">
        <f>_xlfn.XLOOKUP(C237, customers!$A:$A, customers!$G:$G,,0)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f>INDEX(products!$A$1:$G$49,MATCH(orders!$D237,products!$A$1:$A$49,0),MATCH(orders!L$1,products!$A$1:$G$1,0))</f>
        <v>36.454999999999998</v>
      </c>
      <c r="M237">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cm="1">
        <f t="array" ref="F238">_xlfn.XLOOKUP(C238,customers!$A$1:$A1237,customers!$B$1:$B1237,,0)</f>
        <v>Carlie Harce</v>
      </c>
      <c r="G238" s="2" t="str">
        <f>IF(_xlfn.XLOOKUP(C238, customers!$A:$A, customers!$C:$C,,0)=0, "", _xlfn.XLOOKUP(C238, customers!$A:$A, customers!$C:$C,,0))</f>
        <v>charce6k@cafepress.com</v>
      </c>
      <c r="H238" s="2" t="str">
        <f>_xlfn.XLOOKUP(C238, customers!$A:$A, customers!$G:$G,,0)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f>INDEX(products!$A$1:$G$49,MATCH(orders!$D238,products!$A$1:$A$49,0),MATCH(orders!L$1,products!$A$1:$G$1,0))</f>
        <v>29.784999999999997</v>
      </c>
      <c r="M238">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cm="1">
        <f t="array" ref="F239">_xlfn.XLOOKUP(C239,customers!$A$1:$A1238,customers!$B$1:$B1238,,0)</f>
        <v>Craggy Bril</v>
      </c>
      <c r="G239" s="2" t="str">
        <f>IF(_xlfn.XLOOKUP(C239, customers!$A:$A, customers!$C:$C,,0)=0, "", _xlfn.XLOOKUP(C239, customers!$A:$A, customers!$C:$C,,0))</f>
        <v/>
      </c>
      <c r="H239" s="2" t="str">
        <f>_xlfn.XLOOKUP(C239, customers!$A:$A, customers!$G:$G,,0)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f>INDEX(products!$A$1:$G$49,MATCH(orders!$D239,products!$A$1:$A$49,0),MATCH(orders!L$1,products!$A$1:$G$1,0))</f>
        <v>3.5849999999999995</v>
      </c>
      <c r="M239">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cm="1">
        <f t="array" ref="F240">_xlfn.XLOOKUP(C240,customers!$A$1:$A1239,customers!$B$1:$B1239,,0)</f>
        <v>Friederike Drysdale</v>
      </c>
      <c r="G240" s="2" t="str">
        <f>IF(_xlfn.XLOOKUP(C240, customers!$A:$A, customers!$C:$C,,0)=0, "", _xlfn.XLOOKUP(C240, customers!$A:$A, customers!$C:$C,,0))</f>
        <v>fdrysdale6m@symantec.com</v>
      </c>
      <c r="H240" s="2" t="str">
        <f>_xlfn.XLOOKUP(C240, customers!$A:$A, customers!$G:$G,,0)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f>INDEX(products!$A$1:$G$49,MATCH(orders!$D240,products!$A$1:$A$49,0),MATCH(orders!L$1,products!$A$1:$G$1,0))</f>
        <v>22.884999999999998</v>
      </c>
      <c r="M240">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cm="1">
        <f t="array" ref="F241">_xlfn.XLOOKUP(C241,customers!$A$1:$A1240,customers!$B$1:$B1240,,0)</f>
        <v>Devon Magowan</v>
      </c>
      <c r="G241" s="2" t="str">
        <f>IF(_xlfn.XLOOKUP(C241, customers!$A:$A, customers!$C:$C,,0)=0, "", _xlfn.XLOOKUP(C241, customers!$A:$A, customers!$C:$C,,0))</f>
        <v>dmagowan6n@fc2.com</v>
      </c>
      <c r="H241" s="2" t="str">
        <f>_xlfn.XLOOKUP(C241, customers!$A:$A, customers!$G:$G,,0)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f>INDEX(products!$A$1:$G$49,MATCH(orders!$D241,products!$A$1:$A$49,0),MATCH(orders!L$1,products!$A$1:$G$1,0))</f>
        <v>14.85</v>
      </c>
      <c r="M241">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cm="1">
        <f t="array" ref="F242">_xlfn.XLOOKUP(C242,customers!$A$1:$A1241,customers!$B$1:$B1241,,0)</f>
        <v>Codi Littrell</v>
      </c>
      <c r="G242" s="2" t="str">
        <f>IF(_xlfn.XLOOKUP(C242, customers!$A:$A, customers!$C:$C,,0)=0, "", _xlfn.XLOOKUP(C242, customers!$A:$A, customers!$C:$C,,0))</f>
        <v/>
      </c>
      <c r="H242" s="2" t="str">
        <f>_xlfn.XLOOKUP(C242, customers!$A:$A, customers!$G:$G,,0)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f>INDEX(products!$A$1:$G$49,MATCH(orders!$D242,products!$A$1:$A$49,0),MATCH(orders!L$1,products!$A$1:$G$1,0))</f>
        <v>25.874999999999996</v>
      </c>
      <c r="M242">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cm="1">
        <f t="array" ref="F243">_xlfn.XLOOKUP(C243,customers!$A$1:$A1242,customers!$B$1:$B1242,,0)</f>
        <v>Christel Speak</v>
      </c>
      <c r="G243" s="2" t="str">
        <f>IF(_xlfn.XLOOKUP(C243, customers!$A:$A, customers!$C:$C,,0)=0, "", _xlfn.XLOOKUP(C243, customers!$A:$A, customers!$C:$C,,0))</f>
        <v/>
      </c>
      <c r="H243" s="2" t="str">
        <f>_xlfn.XLOOKUP(C243, customers!$A:$A, customers!$G:$G,,0)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f>INDEX(products!$A$1:$G$49,MATCH(orders!$D243,products!$A$1:$A$49,0),MATCH(orders!L$1,products!$A$1:$G$1,0))</f>
        <v>22.884999999999998</v>
      </c>
      <c r="M243">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cm="1">
        <f t="array" ref="F244">_xlfn.XLOOKUP(C244,customers!$A$1:$A1243,customers!$B$1:$B1243,,0)</f>
        <v>Sibella Rushbrooke</v>
      </c>
      <c r="G244" s="2" t="str">
        <f>IF(_xlfn.XLOOKUP(C244, customers!$A:$A, customers!$C:$C,,0)=0, "", _xlfn.XLOOKUP(C244, customers!$A:$A, customers!$C:$C,,0))</f>
        <v>srushbrooke6q@youku.com</v>
      </c>
      <c r="H244" s="2" t="str">
        <f>_xlfn.XLOOKUP(C244, customers!$A:$A, customers!$G:$G,,0)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f>INDEX(products!$A$1:$G$49,MATCH(orders!$D244,products!$A$1:$A$49,0),MATCH(orders!L$1,products!$A$1:$G$1,0))</f>
        <v>12.15</v>
      </c>
      <c r="M244">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cm="1">
        <f t="array" ref="F245">_xlfn.XLOOKUP(C245,customers!$A$1:$A1244,customers!$B$1:$B1244,,0)</f>
        <v>Tammie Drynan</v>
      </c>
      <c r="G245" s="2" t="str">
        <f>IF(_xlfn.XLOOKUP(C245, customers!$A:$A, customers!$C:$C,,0)=0, "", _xlfn.XLOOKUP(C245, customers!$A:$A, customers!$C:$C,,0))</f>
        <v>tdrynan6r@deviantart.com</v>
      </c>
      <c r="H245" s="2" t="str">
        <f>_xlfn.XLOOKUP(C245, customers!$A:$A, customers!$G:$G,,0)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f>INDEX(products!$A$1:$G$49,MATCH(orders!$D245,products!$A$1:$A$49,0),MATCH(orders!L$1,products!$A$1:$G$1,0))</f>
        <v>7.29</v>
      </c>
      <c r="M24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cm="1">
        <f t="array" ref="F246">_xlfn.XLOOKUP(C246,customers!$A$1:$A1245,customers!$B$1:$B1245,,0)</f>
        <v>Effie Yurkov</v>
      </c>
      <c r="G246" s="2" t="str">
        <f>IF(_xlfn.XLOOKUP(C246, customers!$A:$A, customers!$C:$C,,0)=0, "", _xlfn.XLOOKUP(C246, customers!$A:$A, customers!$C:$C,,0))</f>
        <v>eyurkov6s@hud.gov</v>
      </c>
      <c r="H246" s="2" t="str">
        <f>_xlfn.XLOOKUP(C246, customers!$A:$A, customers!$G:$G,,0)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f>INDEX(products!$A$1:$G$49,MATCH(orders!$D246,products!$A$1:$A$49,0),MATCH(orders!L$1,products!$A$1:$G$1,0))</f>
        <v>33.464999999999996</v>
      </c>
      <c r="M246">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cm="1">
        <f t="array" ref="F247">_xlfn.XLOOKUP(C247,customers!$A$1:$A1246,customers!$B$1:$B1246,,0)</f>
        <v>Lexie Mallan</v>
      </c>
      <c r="G247" s="2" t="str">
        <f>IF(_xlfn.XLOOKUP(C247, customers!$A:$A, customers!$C:$C,,0)=0, "", _xlfn.XLOOKUP(C247, customers!$A:$A, customers!$C:$C,,0))</f>
        <v>lmallan6t@state.gov</v>
      </c>
      <c r="H247" s="2" t="str">
        <f>_xlfn.XLOOKUP(C247, customers!$A:$A, customers!$G:$G,,0)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f>INDEX(products!$A$1:$G$49,MATCH(orders!$D247,products!$A$1:$A$49,0),MATCH(orders!L$1,products!$A$1:$G$1,0))</f>
        <v>4.7549999999999999</v>
      </c>
      <c r="M247">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cm="1">
        <f t="array" ref="F248">_xlfn.XLOOKUP(C248,customers!$A$1:$A1247,customers!$B$1:$B1247,,0)</f>
        <v>Georgena Bentjens</v>
      </c>
      <c r="G248" s="2" t="str">
        <f>IF(_xlfn.XLOOKUP(C248, customers!$A:$A, customers!$C:$C,,0)=0, "", _xlfn.XLOOKUP(C248, customers!$A:$A, customers!$C:$C,,0))</f>
        <v>gbentjens6u@netlog.com</v>
      </c>
      <c r="H248" s="2" t="str">
        <f>_xlfn.XLOOKUP(C248, customers!$A:$A, customers!$G:$G,,0)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f>INDEX(products!$A$1:$G$49,MATCH(orders!$D248,products!$A$1:$A$49,0),MATCH(orders!L$1,products!$A$1:$G$1,0))</f>
        <v>12.95</v>
      </c>
      <c r="M248">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cm="1">
        <f t="array" ref="F249">_xlfn.XLOOKUP(C249,customers!$A$1:$A1248,customers!$B$1:$B1248,,0)</f>
        <v>Delmar Beasant</v>
      </c>
      <c r="G249" s="2" t="str">
        <f>IF(_xlfn.XLOOKUP(C249, customers!$A:$A, customers!$C:$C,,0)=0, "", _xlfn.XLOOKUP(C249, customers!$A:$A, customers!$C:$C,,0))</f>
        <v/>
      </c>
      <c r="H249" s="2" t="str">
        <f>_xlfn.XLOOKUP(C249, customers!$A:$A, customers!$G:$G,,0)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f>INDEX(products!$A$1:$G$49,MATCH(orders!$D249,products!$A$1:$A$49,0),MATCH(orders!L$1,products!$A$1:$G$1,0))</f>
        <v>3.5849999999999995</v>
      </c>
      <c r="M249">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cm="1">
        <f t="array" ref="F250">_xlfn.XLOOKUP(C250,customers!$A$1:$A1249,customers!$B$1:$B1249,,0)</f>
        <v>Lyn Entwistle</v>
      </c>
      <c r="G250" s="2" t="str">
        <f>IF(_xlfn.XLOOKUP(C250, customers!$A:$A, customers!$C:$C,,0)=0, "", _xlfn.XLOOKUP(C250, customers!$A:$A, customers!$C:$C,,0))</f>
        <v>lentwistle6w@omniture.com</v>
      </c>
      <c r="H250" s="2" t="str">
        <f>_xlfn.XLOOKUP(C250, customers!$A:$A, customers!$G:$G,,0)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f>INDEX(products!$A$1:$G$49,MATCH(orders!$D250,products!$A$1:$A$49,0),MATCH(orders!L$1,products!$A$1:$G$1,0))</f>
        <v>9.9499999999999993</v>
      </c>
      <c r="M250">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cm="1">
        <f t="array" ref="F251">_xlfn.XLOOKUP(C251,customers!$A$1:$A1250,customers!$B$1:$B1250,,0)</f>
        <v>Zacharias Kiffe</v>
      </c>
      <c r="G251" s="2" t="str">
        <f>IF(_xlfn.XLOOKUP(C251, customers!$A:$A, customers!$C:$C,,0)=0, "", _xlfn.XLOOKUP(C251, customers!$A:$A, customers!$C:$C,,0))</f>
        <v>zkiffe74@cyberchimps.com</v>
      </c>
      <c r="H251" s="2" t="str">
        <f>_xlfn.XLOOKUP(C251, customers!$A:$A, customers!$G:$G,,0)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f>INDEX(products!$A$1:$G$49,MATCH(orders!$D251,products!$A$1:$A$49,0),MATCH(orders!L$1,products!$A$1:$G$1,0))</f>
        <v>15.85</v>
      </c>
      <c r="M251">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cm="1">
        <f t="array" ref="F252">_xlfn.XLOOKUP(C252,customers!$A$1:$A1251,customers!$B$1:$B1251,,0)</f>
        <v>Mercedes Acott</v>
      </c>
      <c r="G252" s="2" t="str">
        <f>IF(_xlfn.XLOOKUP(C252, customers!$A:$A, customers!$C:$C,,0)=0, "", _xlfn.XLOOKUP(C252, customers!$A:$A, customers!$C:$C,,0))</f>
        <v>macott6y@pagesperso-orange.fr</v>
      </c>
      <c r="H252" s="2" t="str">
        <f>_xlfn.XLOOKUP(C252, customers!$A:$A, customers!$G:$G,,0)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f>INDEX(products!$A$1:$G$49,MATCH(orders!$D252,products!$A$1:$A$49,0),MATCH(orders!L$1,products!$A$1:$G$1,0))</f>
        <v>2.9849999999999999</v>
      </c>
      <c r="M252">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cm="1">
        <f t="array" ref="F253">_xlfn.XLOOKUP(C253,customers!$A$1:$A1252,customers!$B$1:$B1252,,0)</f>
        <v>Connor Heaviside</v>
      </c>
      <c r="G253" s="2" t="str">
        <f>IF(_xlfn.XLOOKUP(C253, customers!$A:$A, customers!$C:$C,,0)=0, "", _xlfn.XLOOKUP(C253, customers!$A:$A, customers!$C:$C,,0))</f>
        <v>cheaviside6z@rediff.com</v>
      </c>
      <c r="H253" s="2" t="str">
        <f>_xlfn.XLOOKUP(C253, customers!$A:$A, customers!$G:$G,,0)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f>INDEX(products!$A$1:$G$49,MATCH(orders!$D253,products!$A$1:$A$49,0),MATCH(orders!L$1,products!$A$1:$G$1,0))</f>
        <v>13.75</v>
      </c>
      <c r="M253">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cm="1">
        <f t="array" ref="F254">_xlfn.XLOOKUP(C254,customers!$A$1:$A1253,customers!$B$1:$B1253,,0)</f>
        <v>Devy Bulbrook</v>
      </c>
      <c r="G254" s="2" t="str">
        <f>IF(_xlfn.XLOOKUP(C254, customers!$A:$A, customers!$C:$C,,0)=0, "", _xlfn.XLOOKUP(C254, customers!$A:$A, customers!$C:$C,,0))</f>
        <v/>
      </c>
      <c r="H254" s="2" t="str">
        <f>_xlfn.XLOOKUP(C254, customers!$A:$A, customers!$G:$G,,0)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f>INDEX(products!$A$1:$G$49,MATCH(orders!$D254,products!$A$1:$A$49,0),MATCH(orders!L$1,products!$A$1:$G$1,0))</f>
        <v>9.9499999999999993</v>
      </c>
      <c r="M254">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cm="1">
        <f t="array" ref="F255">_xlfn.XLOOKUP(C255,customers!$A$1:$A1254,customers!$B$1:$B1254,,0)</f>
        <v>Leia Kernan</v>
      </c>
      <c r="G255" s="2" t="str">
        <f>IF(_xlfn.XLOOKUP(C255, customers!$A:$A, customers!$C:$C,,0)=0, "", _xlfn.XLOOKUP(C255, customers!$A:$A, customers!$C:$C,,0))</f>
        <v>lkernan71@wsj.com</v>
      </c>
      <c r="H255" s="2" t="str">
        <f>_xlfn.XLOOKUP(C255, customers!$A:$A, customers!$G:$G,,0)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f>INDEX(products!$A$1:$G$49,MATCH(orders!$D255,products!$A$1:$A$49,0),MATCH(orders!L$1,products!$A$1:$G$1,0))</f>
        <v>14.55</v>
      </c>
      <c r="M25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cm="1">
        <f t="array" ref="F256">_xlfn.XLOOKUP(C256,customers!$A$1:$A1255,customers!$B$1:$B1255,,0)</f>
        <v>Rosaline McLae</v>
      </c>
      <c r="G256" s="2" t="str">
        <f>IF(_xlfn.XLOOKUP(C256, customers!$A:$A, customers!$C:$C,,0)=0, "", _xlfn.XLOOKUP(C256, customers!$A:$A, customers!$C:$C,,0))</f>
        <v>rmclae72@dailymotion.com</v>
      </c>
      <c r="H256" s="2" t="str">
        <f>_xlfn.XLOOKUP(C256, customers!$A:$A, customers!$G:$G,,0)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f>INDEX(products!$A$1:$G$49,MATCH(orders!$D256,products!$A$1:$A$49,0),MATCH(orders!L$1,products!$A$1:$G$1,0))</f>
        <v>7.169999999999999</v>
      </c>
      <c r="M256">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cm="1">
        <f t="array" ref="F257">_xlfn.XLOOKUP(C257,customers!$A$1:$A1256,customers!$B$1:$B1256,,0)</f>
        <v>Cleve Blowfelde</v>
      </c>
      <c r="G257" s="2" t="str">
        <f>IF(_xlfn.XLOOKUP(C257, customers!$A:$A, customers!$C:$C,,0)=0, "", _xlfn.XLOOKUP(C257, customers!$A:$A, customers!$C:$C,,0))</f>
        <v>cblowfelde73@ustream.tv</v>
      </c>
      <c r="H257" s="2" t="str">
        <f>_xlfn.XLOOKUP(C257, customers!$A:$A, customers!$G:$G,,0)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f>INDEX(products!$A$1:$G$49,MATCH(orders!$D257,products!$A$1:$A$49,0),MATCH(orders!L$1,products!$A$1:$G$1,0))</f>
        <v>7.169999999999999</v>
      </c>
      <c r="M257">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cm="1">
        <f t="array" ref="F258">_xlfn.XLOOKUP(C258,customers!$A$1:$A1257,customers!$B$1:$B1257,,0)</f>
        <v>Zacharias Kiffe</v>
      </c>
      <c r="G258" s="2" t="str">
        <f>IF(_xlfn.XLOOKUP(C258, customers!$A:$A, customers!$C:$C,,0)=0, "", _xlfn.XLOOKUP(C258, customers!$A:$A, customers!$C:$C,,0))</f>
        <v>zkiffe74@cyberchimps.com</v>
      </c>
      <c r="H258" s="2" t="str">
        <f>_xlfn.XLOOKUP(C258, customers!$A:$A, customers!$G:$G,,0)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f>INDEX(products!$A$1:$G$49,MATCH(orders!$D258,products!$A$1:$A$49,0),MATCH(orders!L$1,products!$A$1:$G$1,0))</f>
        <v>8.73</v>
      </c>
      <c r="M258">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cm="1">
        <f t="array" ref="F259">_xlfn.XLOOKUP(C259,customers!$A$1:$A1258,customers!$B$1:$B1258,,0)</f>
        <v>Denyse O'Calleran</v>
      </c>
      <c r="G259" s="2" t="str">
        <f>IF(_xlfn.XLOOKUP(C259, customers!$A:$A, customers!$C:$C,,0)=0, "", _xlfn.XLOOKUP(C259, customers!$A:$A, customers!$C:$C,,0))</f>
        <v>docalleran75@ucla.edu</v>
      </c>
      <c r="H259" s="2" t="str">
        <f>_xlfn.XLOOKUP(C259, customers!$A:$A, customers!$G:$G,,0)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f>INDEX(products!$A$1:$G$49,MATCH(orders!$D259,products!$A$1:$A$49,0),MATCH(orders!L$1,products!$A$1:$G$1,0))</f>
        <v>27.945</v>
      </c>
      <c r="M259">
        <f t="shared" ref="M259:M322" si="12">L259*E259</f>
        <v>27.945</v>
      </c>
      <c r="N259" t="str">
        <f t="shared" ref="N259:N322" si="13">IF(I259="Rob", "Robusta", IF(I259="Exc","Excelsa",IF(I259="Ara","Arabica", 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cm="1">
        <f t="array" ref="F260">_xlfn.XLOOKUP(C260,customers!$A$1:$A1259,customers!$B$1:$B1259,,0)</f>
        <v>Cobby Cromwell</v>
      </c>
      <c r="G260" s="2" t="str">
        <f>IF(_xlfn.XLOOKUP(C260, customers!$A:$A, customers!$C:$C,,0)=0, "", _xlfn.XLOOKUP(C260, customers!$A:$A, customers!$C:$C,,0))</f>
        <v>ccromwell76@desdev.cn</v>
      </c>
      <c r="H260" s="2" t="str">
        <f>_xlfn.XLOOKUP(C260, customers!$A:$A, customers!$G:$G,,0)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f>INDEX(products!$A$1:$G$49,MATCH(orders!$D260,products!$A$1:$A$49,0),MATCH(orders!L$1,products!$A$1:$G$1,0))</f>
        <v>27.945</v>
      </c>
      <c r="M260">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cm="1">
        <f t="array" ref="F261">_xlfn.XLOOKUP(C261,customers!$A$1:$A1260,customers!$B$1:$B1260,,0)</f>
        <v>Irv Hay</v>
      </c>
      <c r="G261" s="2" t="str">
        <f>IF(_xlfn.XLOOKUP(C261, customers!$A:$A, customers!$C:$C,,0)=0, "", _xlfn.XLOOKUP(C261, customers!$A:$A, customers!$C:$C,,0))</f>
        <v>ihay77@lulu.com</v>
      </c>
      <c r="H261" s="2" t="str">
        <f>_xlfn.XLOOKUP(C261, customers!$A:$A, customers!$G:$G,,0)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f>INDEX(products!$A$1:$G$49,MATCH(orders!$D261,products!$A$1:$A$49,0),MATCH(orders!L$1,products!$A$1:$G$1,0))</f>
        <v>2.9849999999999999</v>
      </c>
      <c r="M261">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cm="1">
        <f t="array" ref="F262">_xlfn.XLOOKUP(C262,customers!$A$1:$A1261,customers!$B$1:$B1261,,0)</f>
        <v>Tani Taffarello</v>
      </c>
      <c r="G262" s="2" t="str">
        <f>IF(_xlfn.XLOOKUP(C262, customers!$A:$A, customers!$C:$C,,0)=0, "", _xlfn.XLOOKUP(C262, customers!$A:$A, customers!$C:$C,,0))</f>
        <v>ttaffarello78@sciencedaily.com</v>
      </c>
      <c r="H262" s="2" t="str">
        <f>_xlfn.XLOOKUP(C262, customers!$A:$A, customers!$G:$G,,0)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f>INDEX(products!$A$1:$G$49,MATCH(orders!$D262,products!$A$1:$A$49,0),MATCH(orders!L$1,products!$A$1:$G$1,0))</f>
        <v>27.484999999999996</v>
      </c>
      <c r="M262">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cm="1">
        <f t="array" ref="F263">_xlfn.XLOOKUP(C263,customers!$A$1:$A1262,customers!$B$1:$B1262,,0)</f>
        <v>Monique Canty</v>
      </c>
      <c r="G263" s="2" t="str">
        <f>IF(_xlfn.XLOOKUP(C263, customers!$A:$A, customers!$C:$C,,0)=0, "", _xlfn.XLOOKUP(C263, customers!$A:$A, customers!$C:$C,,0))</f>
        <v>mcanty79@jigsy.com</v>
      </c>
      <c r="H263" s="2" t="str">
        <f>_xlfn.XLOOKUP(C263, customers!$A:$A, customers!$G:$G,,0)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f>INDEX(products!$A$1:$G$49,MATCH(orders!$D263,products!$A$1:$A$49,0),MATCH(orders!L$1,products!$A$1:$G$1,0))</f>
        <v>11.95</v>
      </c>
      <c r="M263">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cm="1">
        <f t="array" ref="F264">_xlfn.XLOOKUP(C264,customers!$A$1:$A1263,customers!$B$1:$B1263,,0)</f>
        <v>Javier Kopke</v>
      </c>
      <c r="G264" s="2" t="str">
        <f>IF(_xlfn.XLOOKUP(C264, customers!$A:$A, customers!$C:$C,,0)=0, "", _xlfn.XLOOKUP(C264, customers!$A:$A, customers!$C:$C,,0))</f>
        <v>jkopke7a@auda.org.au</v>
      </c>
      <c r="H264" s="2" t="str">
        <f>_xlfn.XLOOKUP(C264, customers!$A:$A, customers!$G:$G,,0)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f>INDEX(products!$A$1:$G$49,MATCH(orders!$D264,products!$A$1:$A$49,0),MATCH(orders!L$1,products!$A$1:$G$1,0))</f>
        <v>13.75</v>
      </c>
      <c r="M264">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cm="1">
        <f t="array" ref="F265">_xlfn.XLOOKUP(C265,customers!$A$1:$A1264,customers!$B$1:$B1264,,0)</f>
        <v>Mar McIver</v>
      </c>
      <c r="G265" s="2" t="str">
        <f>IF(_xlfn.XLOOKUP(C265, customers!$A:$A, customers!$C:$C,,0)=0, "", _xlfn.XLOOKUP(C265, customers!$A:$A, customers!$C:$C,,0))</f>
        <v/>
      </c>
      <c r="H265" s="2" t="str">
        <f>_xlfn.XLOOKUP(C265, customers!$A:$A, customers!$G:$G,,0)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f>INDEX(products!$A$1:$G$49,MATCH(orders!$D265,products!$A$1:$A$49,0),MATCH(orders!L$1,products!$A$1:$G$1,0))</f>
        <v>33.464999999999996</v>
      </c>
      <c r="M26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cm="1">
        <f t="array" ref="F266">_xlfn.XLOOKUP(C266,customers!$A$1:$A1265,customers!$B$1:$B1265,,0)</f>
        <v>Arabella Fransewich</v>
      </c>
      <c r="G266" s="2" t="str">
        <f>IF(_xlfn.XLOOKUP(C266, customers!$A:$A, customers!$C:$C,,0)=0, "", _xlfn.XLOOKUP(C266, customers!$A:$A, customers!$C:$C,,0))</f>
        <v/>
      </c>
      <c r="H266" s="2" t="str">
        <f>_xlfn.XLOOKUP(C266, customers!$A:$A, customers!$G:$G,,0)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f>INDEX(products!$A$1:$G$49,MATCH(orders!$D266,products!$A$1:$A$49,0),MATCH(orders!L$1,products!$A$1:$G$1,0))</f>
        <v>11.95</v>
      </c>
      <c r="M266">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cm="1">
        <f t="array" ref="F267">_xlfn.XLOOKUP(C267,customers!$A$1:$A1266,customers!$B$1:$B1266,,0)</f>
        <v>Violette Hellmore</v>
      </c>
      <c r="G267" s="2" t="str">
        <f>IF(_xlfn.XLOOKUP(C267, customers!$A:$A, customers!$C:$C,,0)=0, "", _xlfn.XLOOKUP(C267, customers!$A:$A, customers!$C:$C,,0))</f>
        <v>vhellmore7d@bbc.co.uk</v>
      </c>
      <c r="H267" s="2" t="str">
        <f>_xlfn.XLOOKUP(C267, customers!$A:$A, customers!$G:$G,,0)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f>INDEX(products!$A$1:$G$49,MATCH(orders!$D267,products!$A$1:$A$49,0),MATCH(orders!L$1,products!$A$1:$G$1,0))</f>
        <v>5.97</v>
      </c>
      <c r="M267">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cm="1">
        <f t="array" ref="F268">_xlfn.XLOOKUP(C268,customers!$A$1:$A1267,customers!$B$1:$B1267,,0)</f>
        <v>Myles Seawright</v>
      </c>
      <c r="G268" s="2" t="str">
        <f>IF(_xlfn.XLOOKUP(C268, customers!$A:$A, customers!$C:$C,,0)=0, "", _xlfn.XLOOKUP(C268, customers!$A:$A, customers!$C:$C,,0))</f>
        <v>mseawright7e@nbcnews.com</v>
      </c>
      <c r="H268" s="2" t="str">
        <f>_xlfn.XLOOKUP(C268, customers!$A:$A, customers!$G:$G,,0)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f>INDEX(products!$A$1:$G$49,MATCH(orders!$D268,products!$A$1:$A$49,0),MATCH(orders!L$1,products!$A$1:$G$1,0))</f>
        <v>12.15</v>
      </c>
      <c r="M268">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cm="1">
        <f t="array" ref="F269">_xlfn.XLOOKUP(C269,customers!$A$1:$A1268,customers!$B$1:$B1268,,0)</f>
        <v>Silvana Northeast</v>
      </c>
      <c r="G269" s="2" t="str">
        <f>IF(_xlfn.XLOOKUP(C269, customers!$A:$A, customers!$C:$C,,0)=0, "", _xlfn.XLOOKUP(C269, customers!$A:$A, customers!$C:$C,,0))</f>
        <v>snortheast7f@mashable.com</v>
      </c>
      <c r="H269" s="2" t="str">
        <f>_xlfn.XLOOKUP(C269, customers!$A:$A, customers!$G:$G,,0)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f>INDEX(products!$A$1:$G$49,MATCH(orders!$D269,products!$A$1:$A$49,0),MATCH(orders!L$1,products!$A$1:$G$1,0))</f>
        <v>3.645</v>
      </c>
      <c r="M269">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cm="1">
        <f t="array" ref="F270">_xlfn.XLOOKUP(C270,customers!$A$1:$A1269,customers!$B$1:$B1269,,0)</f>
        <v>Anselma Attwater</v>
      </c>
      <c r="G270" s="2" t="str">
        <f>IF(_xlfn.XLOOKUP(C270, customers!$A:$A, customers!$C:$C,,0)=0, "", _xlfn.XLOOKUP(C270, customers!$A:$A, customers!$C:$C,,0))</f>
        <v>aattwater5u@wikia.com</v>
      </c>
      <c r="H270" s="2" t="str">
        <f>_xlfn.XLOOKUP(C270, customers!$A:$A, customers!$G:$G,,0)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f>INDEX(products!$A$1:$G$49,MATCH(orders!$D270,products!$A$1:$A$49,0),MATCH(orders!L$1,products!$A$1:$G$1,0))</f>
        <v>9.9499999999999993</v>
      </c>
      <c r="M270">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cm="1">
        <f t="array" ref="F271">_xlfn.XLOOKUP(C271,customers!$A$1:$A1270,customers!$B$1:$B1270,,0)</f>
        <v>Monica Fearon</v>
      </c>
      <c r="G271" s="2" t="str">
        <f>IF(_xlfn.XLOOKUP(C271, customers!$A:$A, customers!$C:$C,,0)=0, "", _xlfn.XLOOKUP(C271, customers!$A:$A, customers!$C:$C,,0))</f>
        <v>mfearon7h@reverbnation.com</v>
      </c>
      <c r="H271" s="2" t="str">
        <f>_xlfn.XLOOKUP(C271, customers!$A:$A, customers!$G:$G,,0)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f>INDEX(products!$A$1:$G$49,MATCH(orders!$D271,products!$A$1:$A$49,0),MATCH(orders!L$1,products!$A$1:$G$1,0))</f>
        <v>2.9849999999999999</v>
      </c>
      <c r="M271">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cm="1">
        <f t="array" ref="F272">_xlfn.XLOOKUP(C272,customers!$A$1:$A1271,customers!$B$1:$B1271,,0)</f>
        <v>Barney Chisnell</v>
      </c>
      <c r="G272" s="2" t="str">
        <f>IF(_xlfn.XLOOKUP(C272, customers!$A:$A, customers!$C:$C,,0)=0, "", _xlfn.XLOOKUP(C272, customers!$A:$A, customers!$C:$C,,0))</f>
        <v/>
      </c>
      <c r="H272" s="2" t="str">
        <f>_xlfn.XLOOKUP(C272, customers!$A:$A, customers!$G:$G,,0)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f>INDEX(products!$A$1:$G$49,MATCH(orders!$D272,products!$A$1:$A$49,0),MATCH(orders!L$1,products!$A$1:$G$1,0))</f>
        <v>7.29</v>
      </c>
      <c r="M272">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cm="1">
        <f t="array" ref="F273">_xlfn.XLOOKUP(C273,customers!$A$1:$A1272,customers!$B$1:$B1272,,0)</f>
        <v>Jasper Sisneros</v>
      </c>
      <c r="G273" s="2" t="str">
        <f>IF(_xlfn.XLOOKUP(C273, customers!$A:$A, customers!$C:$C,,0)=0, "", _xlfn.XLOOKUP(C273, customers!$A:$A, customers!$C:$C,,0))</f>
        <v>jsisneros7j@a8.net</v>
      </c>
      <c r="H273" s="2" t="str">
        <f>_xlfn.XLOOKUP(C273, customers!$A:$A, customers!$G:$G,,0)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f>INDEX(products!$A$1:$G$49,MATCH(orders!$D273,products!$A$1:$A$49,0),MATCH(orders!L$1,products!$A$1:$G$1,0))</f>
        <v>2.9849999999999999</v>
      </c>
      <c r="M273">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cm="1">
        <f t="array" ref="F274">_xlfn.XLOOKUP(C274,customers!$A$1:$A1273,customers!$B$1:$B1273,,0)</f>
        <v>Zachariah Carlson</v>
      </c>
      <c r="G274" s="2" t="str">
        <f>IF(_xlfn.XLOOKUP(C274, customers!$A:$A, customers!$C:$C,,0)=0, "", _xlfn.XLOOKUP(C274, customers!$A:$A, customers!$C:$C,,0))</f>
        <v>zcarlson7k@bigcartel.com</v>
      </c>
      <c r="H274" s="2" t="str">
        <f>_xlfn.XLOOKUP(C274, customers!$A:$A, customers!$G:$G,,0)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f>INDEX(products!$A$1:$G$49,MATCH(orders!$D274,products!$A$1:$A$49,0),MATCH(orders!L$1,products!$A$1:$G$1,0))</f>
        <v>11.95</v>
      </c>
      <c r="M274">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cm="1">
        <f t="array" ref="F275">_xlfn.XLOOKUP(C275,customers!$A$1:$A1274,customers!$B$1:$B1274,,0)</f>
        <v>Warner Maddox</v>
      </c>
      <c r="G275" s="2" t="str">
        <f>IF(_xlfn.XLOOKUP(C275, customers!$A:$A, customers!$C:$C,,0)=0, "", _xlfn.XLOOKUP(C275, customers!$A:$A, customers!$C:$C,,0))</f>
        <v>wmaddox7l@timesonline.co.uk</v>
      </c>
      <c r="H275" s="2" t="str">
        <f>_xlfn.XLOOKUP(C275, customers!$A:$A, customers!$G:$G,,0)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f>INDEX(products!$A$1:$G$49,MATCH(orders!$D275,products!$A$1:$A$49,0),MATCH(orders!L$1,products!$A$1:$G$1,0))</f>
        <v>3.8849999999999998</v>
      </c>
      <c r="M27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cm="1">
        <f t="array" ref="F276">_xlfn.XLOOKUP(C276,customers!$A$1:$A1275,customers!$B$1:$B1275,,0)</f>
        <v>Donnie Hedlestone</v>
      </c>
      <c r="G276" s="2" t="str">
        <f>IF(_xlfn.XLOOKUP(C276, customers!$A:$A, customers!$C:$C,,0)=0, "", _xlfn.XLOOKUP(C276, customers!$A:$A, customers!$C:$C,,0))</f>
        <v>dhedlestone7m@craigslist.org</v>
      </c>
      <c r="H276" s="2" t="str">
        <f>_xlfn.XLOOKUP(C276, customers!$A:$A, customers!$G:$G,,0)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f>INDEX(products!$A$1:$G$49,MATCH(orders!$D276,products!$A$1:$A$49,0),MATCH(orders!L$1,products!$A$1:$G$1,0))</f>
        <v>25.874999999999996</v>
      </c>
      <c r="M276">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cm="1">
        <f t="array" ref="F277">_xlfn.XLOOKUP(C277,customers!$A$1:$A1276,customers!$B$1:$B1276,,0)</f>
        <v>Teddi Crowthe</v>
      </c>
      <c r="G277" s="2" t="str">
        <f>IF(_xlfn.XLOOKUP(C277, customers!$A:$A, customers!$C:$C,,0)=0, "", _xlfn.XLOOKUP(C277, customers!$A:$A, customers!$C:$C,,0))</f>
        <v>tcrowthe7n@europa.eu</v>
      </c>
      <c r="H277" s="2" t="str">
        <f>_xlfn.XLOOKUP(C277, customers!$A:$A, customers!$G:$G,,0)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f>INDEX(products!$A$1:$G$49,MATCH(orders!$D277,products!$A$1:$A$49,0),MATCH(orders!L$1,products!$A$1:$G$1,0))</f>
        <v>34.154999999999994</v>
      </c>
      <c r="M277">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cm="1">
        <f t="array" ref="F278">_xlfn.XLOOKUP(C278,customers!$A$1:$A1277,customers!$B$1:$B1277,,0)</f>
        <v>Dorelia Bury</v>
      </c>
      <c r="G278" s="2" t="str">
        <f>IF(_xlfn.XLOOKUP(C278, customers!$A:$A, customers!$C:$C,,0)=0, "", _xlfn.XLOOKUP(C278, customers!$A:$A, customers!$C:$C,,0))</f>
        <v>dbury7o@tinyurl.com</v>
      </c>
      <c r="H278" s="2" t="str">
        <f>_xlfn.XLOOKUP(C278, customers!$A:$A, customers!$G:$G,,0)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f>INDEX(products!$A$1:$G$49,MATCH(orders!$D278,products!$A$1:$A$49,0),MATCH(orders!L$1,products!$A$1:$G$1,0))</f>
        <v>27.484999999999996</v>
      </c>
      <c r="M278">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cm="1">
        <f t="array" ref="F279">_xlfn.XLOOKUP(C279,customers!$A$1:$A1278,customers!$B$1:$B1278,,0)</f>
        <v>Gussy Broadbear</v>
      </c>
      <c r="G279" s="2" t="str">
        <f>IF(_xlfn.XLOOKUP(C279, customers!$A:$A, customers!$C:$C,,0)=0, "", _xlfn.XLOOKUP(C279, customers!$A:$A, customers!$C:$C,,0))</f>
        <v>gbroadbear7p@omniture.com</v>
      </c>
      <c r="H279" s="2" t="str">
        <f>_xlfn.XLOOKUP(C279, customers!$A:$A, customers!$G:$G,,0)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f>INDEX(products!$A$1:$G$49,MATCH(orders!$D279,products!$A$1:$A$49,0),MATCH(orders!L$1,products!$A$1:$G$1,0))</f>
        <v>14.85</v>
      </c>
      <c r="M279">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cm="1">
        <f t="array" ref="F280">_xlfn.XLOOKUP(C280,customers!$A$1:$A1279,customers!$B$1:$B1279,,0)</f>
        <v>Emlynne Palfrey</v>
      </c>
      <c r="G280" s="2" t="str">
        <f>IF(_xlfn.XLOOKUP(C280, customers!$A:$A, customers!$C:$C,,0)=0, "", _xlfn.XLOOKUP(C280, customers!$A:$A, customers!$C:$C,,0))</f>
        <v>epalfrey7q@devhub.com</v>
      </c>
      <c r="H280" s="2" t="str">
        <f>_xlfn.XLOOKUP(C280, customers!$A:$A, customers!$G:$G,,0)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f>INDEX(products!$A$1:$G$49,MATCH(orders!$D280,products!$A$1:$A$49,0),MATCH(orders!L$1,products!$A$1:$G$1,0))</f>
        <v>3.8849999999999998</v>
      </c>
      <c r="M280">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cm="1">
        <f t="array" ref="F281">_xlfn.XLOOKUP(C281,customers!$A$1:$A1280,customers!$B$1:$B1280,,0)</f>
        <v>Parsifal Metrick</v>
      </c>
      <c r="G281" s="2" t="str">
        <f>IF(_xlfn.XLOOKUP(C281, customers!$A:$A, customers!$C:$C,,0)=0, "", _xlfn.XLOOKUP(C281, customers!$A:$A, customers!$C:$C,,0))</f>
        <v>pmetrick7r@rakuten.co.jp</v>
      </c>
      <c r="H281" s="2" t="str">
        <f>_xlfn.XLOOKUP(C281, customers!$A:$A, customers!$G:$G,,0)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f>INDEX(products!$A$1:$G$49,MATCH(orders!$D281,products!$A$1:$A$49,0),MATCH(orders!L$1,products!$A$1:$G$1,0))</f>
        <v>33.464999999999996</v>
      </c>
      <c r="M281">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cm="1">
        <f t="array" ref="F282">_xlfn.XLOOKUP(C282,customers!$A$1:$A1281,customers!$B$1:$B1281,,0)</f>
        <v>Christopher Grieveson</v>
      </c>
      <c r="G282" s="2" t="str">
        <f>IF(_xlfn.XLOOKUP(C282, customers!$A:$A, customers!$C:$C,,0)=0, "", _xlfn.XLOOKUP(C282, customers!$A:$A, customers!$C:$C,,0))</f>
        <v/>
      </c>
      <c r="H282" s="2" t="str">
        <f>_xlfn.XLOOKUP(C282, customers!$A:$A, customers!$G:$G,,0)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f>INDEX(products!$A$1:$G$49,MATCH(orders!$D282,products!$A$1:$A$49,0),MATCH(orders!L$1,products!$A$1:$G$1,0))</f>
        <v>8.25</v>
      </c>
      <c r="M282">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cm="1">
        <f t="array" ref="F283">_xlfn.XLOOKUP(C283,customers!$A$1:$A1282,customers!$B$1:$B1282,,0)</f>
        <v>Karlan Karby</v>
      </c>
      <c r="G283" s="2" t="str">
        <f>IF(_xlfn.XLOOKUP(C283, customers!$A:$A, customers!$C:$C,,0)=0, "", _xlfn.XLOOKUP(C283, customers!$A:$A, customers!$C:$C,,0))</f>
        <v>kkarby7t@sbwire.com</v>
      </c>
      <c r="H283" s="2" t="str">
        <f>_xlfn.XLOOKUP(C283, customers!$A:$A, customers!$G:$G,,0)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f>INDEX(products!$A$1:$G$49,MATCH(orders!$D283,products!$A$1:$A$49,0),MATCH(orders!L$1,products!$A$1:$G$1,0))</f>
        <v>14.85</v>
      </c>
      <c r="M283">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cm="1">
        <f t="array" ref="F284">_xlfn.XLOOKUP(C284,customers!$A$1:$A1283,customers!$B$1:$B1283,,0)</f>
        <v>Flory Crumpe</v>
      </c>
      <c r="G284" s="2" t="str">
        <f>IF(_xlfn.XLOOKUP(C284, customers!$A:$A, customers!$C:$C,,0)=0, "", _xlfn.XLOOKUP(C284, customers!$A:$A, customers!$C:$C,,0))</f>
        <v>fcrumpe7u@ftc.gov</v>
      </c>
      <c r="H284" s="2" t="str">
        <f>_xlfn.XLOOKUP(C284, customers!$A:$A, customers!$G:$G,,0)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f>INDEX(products!$A$1:$G$49,MATCH(orders!$D284,products!$A$1:$A$49,0),MATCH(orders!L$1,products!$A$1:$G$1,0))</f>
        <v>7.77</v>
      </c>
      <c r="M284">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cm="1">
        <f t="array" ref="F285">_xlfn.XLOOKUP(C285,customers!$A$1:$A1284,customers!$B$1:$B1284,,0)</f>
        <v>Amity Chatto</v>
      </c>
      <c r="G285" s="2" t="str">
        <f>IF(_xlfn.XLOOKUP(C285, customers!$A:$A, customers!$C:$C,,0)=0, "", _xlfn.XLOOKUP(C285, customers!$A:$A, customers!$C:$C,,0))</f>
        <v>achatto7v@sakura.ne.jp</v>
      </c>
      <c r="H285" s="2" t="str">
        <f>_xlfn.XLOOKUP(C285, customers!$A:$A, customers!$G:$G,,0)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f>INDEX(products!$A$1:$G$49,MATCH(orders!$D285,products!$A$1:$A$49,0),MATCH(orders!L$1,products!$A$1:$G$1,0))</f>
        <v>5.3699999999999992</v>
      </c>
      <c r="M28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cm="1">
        <f t="array" ref="F286">_xlfn.XLOOKUP(C286,customers!$A$1:$A1285,customers!$B$1:$B1285,,0)</f>
        <v>Nanine McCarthy</v>
      </c>
      <c r="G286" s="2" t="str">
        <f>IF(_xlfn.XLOOKUP(C286, customers!$A:$A, customers!$C:$C,,0)=0, "", _xlfn.XLOOKUP(C286, customers!$A:$A, customers!$C:$C,,0))</f>
        <v/>
      </c>
      <c r="H286" s="2" t="str">
        <f>_xlfn.XLOOKUP(C286, customers!$A:$A, customers!$G:$G,,0)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f>INDEX(products!$A$1:$G$49,MATCH(orders!$D286,products!$A$1:$A$49,0),MATCH(orders!L$1,products!$A$1:$G$1,0))</f>
        <v>31.624999999999996</v>
      </c>
      <c r="M286">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cm="1">
        <f t="array" ref="F287">_xlfn.XLOOKUP(C287,customers!$A$1:$A1286,customers!$B$1:$B1286,,0)</f>
        <v>Lyndsey Megany</v>
      </c>
      <c r="G287" s="2" t="str">
        <f>IF(_xlfn.XLOOKUP(C287, customers!$A:$A, customers!$C:$C,,0)=0, "", _xlfn.XLOOKUP(C287, customers!$A:$A, customers!$C:$C,,0))</f>
        <v/>
      </c>
      <c r="H287" s="2" t="str">
        <f>_xlfn.XLOOKUP(C287, customers!$A:$A, customers!$G:$G,,0)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f>INDEX(products!$A$1:$G$49,MATCH(orders!$D287,products!$A$1:$A$49,0),MATCH(orders!L$1,products!$A$1:$G$1,0))</f>
        <v>36.454999999999998</v>
      </c>
      <c r="M287">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cm="1">
        <f t="array" ref="F288">_xlfn.XLOOKUP(C288,customers!$A$1:$A1287,customers!$B$1:$B1287,,0)</f>
        <v>Byram Mergue</v>
      </c>
      <c r="G288" s="2" t="str">
        <f>IF(_xlfn.XLOOKUP(C288, customers!$A:$A, customers!$C:$C,,0)=0, "", _xlfn.XLOOKUP(C288, customers!$A:$A, customers!$C:$C,,0))</f>
        <v>bmergue7y@umn.edu</v>
      </c>
      <c r="H288" s="2" t="str">
        <f>_xlfn.XLOOKUP(C288, customers!$A:$A, customers!$G:$G,,0)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f>INDEX(products!$A$1:$G$49,MATCH(orders!$D288,products!$A$1:$A$49,0),MATCH(orders!L$1,products!$A$1:$G$1,0))</f>
        <v>3.375</v>
      </c>
      <c r="M288">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cm="1">
        <f t="array" ref="F289">_xlfn.XLOOKUP(C289,customers!$A$1:$A1288,customers!$B$1:$B1288,,0)</f>
        <v>Kerr Patise</v>
      </c>
      <c r="G289" s="2" t="str">
        <f>IF(_xlfn.XLOOKUP(C289, customers!$A:$A, customers!$C:$C,,0)=0, "", _xlfn.XLOOKUP(C289, customers!$A:$A, customers!$C:$C,,0))</f>
        <v>kpatise7z@jigsy.com</v>
      </c>
      <c r="H289" s="2" t="str">
        <f>_xlfn.XLOOKUP(C289, customers!$A:$A, customers!$G:$G,,0)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f>INDEX(products!$A$1:$G$49,MATCH(orders!$D289,products!$A$1:$A$49,0),MATCH(orders!L$1,products!$A$1:$G$1,0))</f>
        <v>3.5849999999999995</v>
      </c>
      <c r="M289">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cm="1">
        <f t="array" ref="F290">_xlfn.XLOOKUP(C290,customers!$A$1:$A1289,customers!$B$1:$B1289,,0)</f>
        <v>Mathew Goulter</v>
      </c>
      <c r="G290" s="2" t="str">
        <f>IF(_xlfn.XLOOKUP(C290, customers!$A:$A, customers!$C:$C,,0)=0, "", _xlfn.XLOOKUP(C290, customers!$A:$A, customers!$C:$C,,0))</f>
        <v/>
      </c>
      <c r="H290" s="2" t="str">
        <f>_xlfn.XLOOKUP(C290, customers!$A:$A, customers!$G:$G,,0)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f>INDEX(products!$A$1:$G$49,MATCH(orders!$D290,products!$A$1:$A$49,0),MATCH(orders!L$1,products!$A$1:$G$1,0))</f>
        <v>8.25</v>
      </c>
      <c r="M290">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cm="1">
        <f t="array" ref="F291">_xlfn.XLOOKUP(C291,customers!$A$1:$A1290,customers!$B$1:$B1290,,0)</f>
        <v>Marris Grcic</v>
      </c>
      <c r="G291" s="2" t="str">
        <f>IF(_xlfn.XLOOKUP(C291, customers!$A:$A, customers!$C:$C,,0)=0, "", _xlfn.XLOOKUP(C291, customers!$A:$A, customers!$C:$C,,0))</f>
        <v/>
      </c>
      <c r="H291" s="2" t="str">
        <f>_xlfn.XLOOKUP(C291, customers!$A:$A, customers!$G:$G,,0)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f>INDEX(products!$A$1:$G$49,MATCH(orders!$D291,products!$A$1:$A$49,0),MATCH(orders!L$1,products!$A$1:$G$1,0))</f>
        <v>2.6849999999999996</v>
      </c>
      <c r="M291">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cm="1">
        <f t="array" ref="F292">_xlfn.XLOOKUP(C292,customers!$A$1:$A1291,customers!$B$1:$B1291,,0)</f>
        <v>Domeniga Duke</v>
      </c>
      <c r="G292" s="2" t="str">
        <f>IF(_xlfn.XLOOKUP(C292, customers!$A:$A, customers!$C:$C,,0)=0, "", _xlfn.XLOOKUP(C292, customers!$A:$A, customers!$C:$C,,0))</f>
        <v>dduke82@vkontakte.ru</v>
      </c>
      <c r="H292" s="2" t="str">
        <f>_xlfn.XLOOKUP(C292, customers!$A:$A, customers!$G:$G,,0)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f>INDEX(products!$A$1:$G$49,MATCH(orders!$D292,products!$A$1:$A$49,0),MATCH(orders!L$1,products!$A$1:$G$1,0))</f>
        <v>9.9499999999999993</v>
      </c>
      <c r="M292">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cm="1">
        <f t="array" ref="F293">_xlfn.XLOOKUP(C293,customers!$A$1:$A1292,customers!$B$1:$B1292,,0)</f>
        <v>Violante Skouling</v>
      </c>
      <c r="G293" s="2" t="str">
        <f>IF(_xlfn.XLOOKUP(C293, customers!$A:$A, customers!$C:$C,,0)=0, "", _xlfn.XLOOKUP(C293, customers!$A:$A, customers!$C:$C,,0))</f>
        <v/>
      </c>
      <c r="H293" s="2" t="str">
        <f>_xlfn.XLOOKUP(C293, customers!$A:$A, customers!$G:$G,,0)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f>INDEX(products!$A$1:$G$49,MATCH(orders!$D293,products!$A$1:$A$49,0),MATCH(orders!L$1,products!$A$1:$G$1,0))</f>
        <v>8.25</v>
      </c>
      <c r="M293">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cm="1">
        <f t="array" ref="F294">_xlfn.XLOOKUP(C294,customers!$A$1:$A1293,customers!$B$1:$B1293,,0)</f>
        <v>Isidore Hussey</v>
      </c>
      <c r="G294" s="2" t="str">
        <f>IF(_xlfn.XLOOKUP(C294, customers!$A:$A, customers!$C:$C,,0)=0, "", _xlfn.XLOOKUP(C294, customers!$A:$A, customers!$C:$C,,0))</f>
        <v>ihussey84@mapy.cz</v>
      </c>
      <c r="H294" s="2" t="str">
        <f>_xlfn.XLOOKUP(C294, customers!$A:$A, customers!$G:$G,,0)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f>INDEX(products!$A$1:$G$49,MATCH(orders!$D294,products!$A$1:$A$49,0),MATCH(orders!L$1,products!$A$1:$G$1,0))</f>
        <v>5.97</v>
      </c>
      <c r="M294">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cm="1">
        <f t="array" ref="F295">_xlfn.XLOOKUP(C295,customers!$A$1:$A1294,customers!$B$1:$B1294,,0)</f>
        <v>Cassie Pinkerton</v>
      </c>
      <c r="G295" s="2" t="str">
        <f>IF(_xlfn.XLOOKUP(C295, customers!$A:$A, customers!$C:$C,,0)=0, "", _xlfn.XLOOKUP(C295, customers!$A:$A, customers!$C:$C,,0))</f>
        <v>cpinkerton85@upenn.edu</v>
      </c>
      <c r="H295" s="2" t="str">
        <f>_xlfn.XLOOKUP(C295, customers!$A:$A, customers!$G:$G,,0)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f>INDEX(products!$A$1:$G$49,MATCH(orders!$D295,products!$A$1:$A$49,0),MATCH(orders!L$1,products!$A$1:$G$1,0))</f>
        <v>5.97</v>
      </c>
      <c r="M29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cm="1">
        <f t="array" ref="F296">_xlfn.XLOOKUP(C296,customers!$A$1:$A1295,customers!$B$1:$B1295,,0)</f>
        <v>Micki Fero</v>
      </c>
      <c r="G296" s="2" t="str">
        <f>IF(_xlfn.XLOOKUP(C296, customers!$A:$A, customers!$C:$C,,0)=0, "", _xlfn.XLOOKUP(C296, customers!$A:$A, customers!$C:$C,,0))</f>
        <v/>
      </c>
      <c r="H296" s="2" t="str">
        <f>_xlfn.XLOOKUP(C296, customers!$A:$A, customers!$G:$G,,0)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f>INDEX(products!$A$1:$G$49,MATCH(orders!$D296,products!$A$1:$A$49,0),MATCH(orders!L$1,products!$A$1:$G$1,0))</f>
        <v>14.85</v>
      </c>
      <c r="M296">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cm="1">
        <f t="array" ref="F297">_xlfn.XLOOKUP(C297,customers!$A$1:$A1296,customers!$B$1:$B1296,,0)</f>
        <v>Cybill Graddell</v>
      </c>
      <c r="G297" s="2" t="str">
        <f>IF(_xlfn.XLOOKUP(C297, customers!$A:$A, customers!$C:$C,,0)=0, "", _xlfn.XLOOKUP(C297, customers!$A:$A, customers!$C:$C,,0))</f>
        <v/>
      </c>
      <c r="H297" s="2" t="str">
        <f>_xlfn.XLOOKUP(C297, customers!$A:$A, customers!$G:$G,,0)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f>INDEX(products!$A$1:$G$49,MATCH(orders!$D297,products!$A$1:$A$49,0),MATCH(orders!L$1,products!$A$1:$G$1,0))</f>
        <v>13.75</v>
      </c>
      <c r="M297">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cm="1">
        <f t="array" ref="F298">_xlfn.XLOOKUP(C298,customers!$A$1:$A1297,customers!$B$1:$B1297,,0)</f>
        <v>Dorian Vizor</v>
      </c>
      <c r="G298" s="2" t="str">
        <f>IF(_xlfn.XLOOKUP(C298, customers!$A:$A, customers!$C:$C,,0)=0, "", _xlfn.XLOOKUP(C298, customers!$A:$A, customers!$C:$C,,0))</f>
        <v>dvizor88@furl.net</v>
      </c>
      <c r="H298" s="2" t="str">
        <f>_xlfn.XLOOKUP(C298, customers!$A:$A, customers!$G:$G,,0)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f>INDEX(products!$A$1:$G$49,MATCH(orders!$D298,products!$A$1:$A$49,0),MATCH(orders!L$1,products!$A$1:$G$1,0))</f>
        <v>5.97</v>
      </c>
      <c r="M298">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cm="1">
        <f t="array" ref="F299">_xlfn.XLOOKUP(C299,customers!$A$1:$A1298,customers!$B$1:$B1298,,0)</f>
        <v>Eddi Sedgebeer</v>
      </c>
      <c r="G299" s="2" t="str">
        <f>IF(_xlfn.XLOOKUP(C299, customers!$A:$A, customers!$C:$C,,0)=0, "", _xlfn.XLOOKUP(C299, customers!$A:$A, customers!$C:$C,,0))</f>
        <v>esedgebeer89@oaic.gov.au</v>
      </c>
      <c r="H299" s="2" t="str">
        <f>_xlfn.XLOOKUP(C299, customers!$A:$A, customers!$G:$G,,0)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f>INDEX(products!$A$1:$G$49,MATCH(orders!$D299,products!$A$1:$A$49,0),MATCH(orders!L$1,products!$A$1:$G$1,0))</f>
        <v>5.3699999999999992</v>
      </c>
      <c r="M299">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cm="1">
        <f t="array" ref="F300">_xlfn.XLOOKUP(C300,customers!$A$1:$A1299,customers!$B$1:$B1299,,0)</f>
        <v>Ken Lestrange</v>
      </c>
      <c r="G300" s="2" t="str">
        <f>IF(_xlfn.XLOOKUP(C300, customers!$A:$A, customers!$C:$C,,0)=0, "", _xlfn.XLOOKUP(C300, customers!$A:$A, customers!$C:$C,,0))</f>
        <v>klestrange8a@lulu.com</v>
      </c>
      <c r="H300" s="2" t="str">
        <f>_xlfn.XLOOKUP(C300, customers!$A:$A, customers!$G:$G,,0)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f>INDEX(products!$A$1:$G$49,MATCH(orders!$D300,products!$A$1:$A$49,0),MATCH(orders!L$1,products!$A$1:$G$1,0))</f>
        <v>4.4550000000000001</v>
      </c>
      <c r="M300">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cm="1">
        <f t="array" ref="F301">_xlfn.XLOOKUP(C301,customers!$A$1:$A1300,customers!$B$1:$B1300,,0)</f>
        <v>Lacee Tanti</v>
      </c>
      <c r="G301" s="2" t="str">
        <f>IF(_xlfn.XLOOKUP(C301, customers!$A:$A, customers!$C:$C,,0)=0, "", _xlfn.XLOOKUP(C301, customers!$A:$A, customers!$C:$C,,0))</f>
        <v>ltanti8b@techcrunch.com</v>
      </c>
      <c r="H301" s="2" t="str">
        <f>_xlfn.XLOOKUP(C301, customers!$A:$A, customers!$G:$G,,0)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f>INDEX(products!$A$1:$G$49,MATCH(orders!$D301,products!$A$1:$A$49,0),MATCH(orders!L$1,products!$A$1:$G$1,0))</f>
        <v>34.154999999999994</v>
      </c>
      <c r="M301">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cm="1">
        <f t="array" ref="F302">_xlfn.XLOOKUP(C302,customers!$A$1:$A1301,customers!$B$1:$B1301,,0)</f>
        <v>Arel De Lasci</v>
      </c>
      <c r="G302" s="2" t="str">
        <f>IF(_xlfn.XLOOKUP(C302, customers!$A:$A, customers!$C:$C,,0)=0, "", _xlfn.XLOOKUP(C302, customers!$A:$A, customers!$C:$C,,0))</f>
        <v>ade8c@1und1.de</v>
      </c>
      <c r="H302" s="2" t="str">
        <f>_xlfn.XLOOKUP(C302, customers!$A:$A, customers!$G:$G,,0)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f>INDEX(products!$A$1:$G$49,MATCH(orders!$D302,products!$A$1:$A$49,0),MATCH(orders!L$1,products!$A$1:$G$1,0))</f>
        <v>12.95</v>
      </c>
      <c r="M302">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cm="1">
        <f t="array" ref="F303">_xlfn.XLOOKUP(C303,customers!$A$1:$A1302,customers!$B$1:$B1302,,0)</f>
        <v>Trescha Jedrachowicz</v>
      </c>
      <c r="G303" s="2" t="str">
        <f>IF(_xlfn.XLOOKUP(C303, customers!$A:$A, customers!$C:$C,,0)=0, "", _xlfn.XLOOKUP(C303, customers!$A:$A, customers!$C:$C,,0))</f>
        <v>tjedrachowicz8d@acquirethisname.com</v>
      </c>
      <c r="H303" s="2" t="str">
        <f>_xlfn.XLOOKUP(C303, customers!$A:$A, customers!$G:$G,,0)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f>INDEX(products!$A$1:$G$49,MATCH(orders!$D303,products!$A$1:$A$49,0),MATCH(orders!L$1,products!$A$1:$G$1,0))</f>
        <v>3.8849999999999998</v>
      </c>
      <c r="M303">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cm="1">
        <f t="array" ref="F304">_xlfn.XLOOKUP(C304,customers!$A$1:$A1303,customers!$B$1:$B1303,,0)</f>
        <v>Perkin Stonner</v>
      </c>
      <c r="G304" s="2" t="str">
        <f>IF(_xlfn.XLOOKUP(C304, customers!$A:$A, customers!$C:$C,,0)=0, "", _xlfn.XLOOKUP(C304, customers!$A:$A, customers!$C:$C,,0))</f>
        <v>pstonner8e@moonfruit.com</v>
      </c>
      <c r="H304" s="2" t="str">
        <f>_xlfn.XLOOKUP(C304, customers!$A:$A, customers!$G:$G,,0)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f>INDEX(products!$A$1:$G$49,MATCH(orders!$D304,products!$A$1:$A$49,0),MATCH(orders!L$1,products!$A$1:$G$1,0))</f>
        <v>6.75</v>
      </c>
      <c r="M304">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cm="1">
        <f t="array" ref="F305">_xlfn.XLOOKUP(C305,customers!$A$1:$A1304,customers!$B$1:$B1304,,0)</f>
        <v>Darrin Tingly</v>
      </c>
      <c r="G305" s="2" t="str">
        <f>IF(_xlfn.XLOOKUP(C305, customers!$A:$A, customers!$C:$C,,0)=0, "", _xlfn.XLOOKUP(C305, customers!$A:$A, customers!$C:$C,,0))</f>
        <v>dtingly8f@goo.ne.jp</v>
      </c>
      <c r="H305" s="2" t="str">
        <f>_xlfn.XLOOKUP(C305, customers!$A:$A, customers!$G:$G,,0)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f>INDEX(products!$A$1:$G$49,MATCH(orders!$D305,products!$A$1:$A$49,0),MATCH(orders!L$1,products!$A$1:$G$1,0))</f>
        <v>27.945</v>
      </c>
      <c r="M30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cm="1">
        <f t="array" ref="F306">_xlfn.XLOOKUP(C306,customers!$A$1:$A1305,customers!$B$1:$B1305,,0)</f>
        <v>Claudetta Rushe</v>
      </c>
      <c r="G306" s="2" t="str">
        <f>IF(_xlfn.XLOOKUP(C306, customers!$A:$A, customers!$C:$C,,0)=0, "", _xlfn.XLOOKUP(C306, customers!$A:$A, customers!$C:$C,,0))</f>
        <v>crushe8n@about.me</v>
      </c>
      <c r="H306" s="2" t="str">
        <f>_xlfn.XLOOKUP(C306, customers!$A:$A, customers!$G:$G,,0)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f>INDEX(products!$A$1:$G$49,MATCH(orders!$D306,products!$A$1:$A$49,0),MATCH(orders!L$1,products!$A$1:$G$1,0))</f>
        <v>3.8849999999999998</v>
      </c>
      <c r="M306">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cm="1">
        <f t="array" ref="F307">_xlfn.XLOOKUP(C307,customers!$A$1:$A1306,customers!$B$1:$B1306,,0)</f>
        <v>Benn Checci</v>
      </c>
      <c r="G307" s="2" t="str">
        <f>IF(_xlfn.XLOOKUP(C307, customers!$A:$A, customers!$C:$C,,0)=0, "", _xlfn.XLOOKUP(C307, customers!$A:$A, customers!$C:$C,,0))</f>
        <v>bchecci8h@usa.gov</v>
      </c>
      <c r="H307" s="2" t="str">
        <f>_xlfn.XLOOKUP(C307, customers!$A:$A, customers!$G:$G,,0)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f>INDEX(products!$A$1:$G$49,MATCH(orders!$D307,products!$A$1:$A$49,0),MATCH(orders!L$1,products!$A$1:$G$1,0))</f>
        <v>4.3650000000000002</v>
      </c>
      <c r="M307">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cm="1">
        <f t="array" ref="F308">_xlfn.XLOOKUP(C308,customers!$A$1:$A1307,customers!$B$1:$B1307,,0)</f>
        <v>Janifer Bagot</v>
      </c>
      <c r="G308" s="2" t="str">
        <f>IF(_xlfn.XLOOKUP(C308, customers!$A:$A, customers!$C:$C,,0)=0, "", _xlfn.XLOOKUP(C308, customers!$A:$A, customers!$C:$C,,0))</f>
        <v>jbagot8i@mac.com</v>
      </c>
      <c r="H308" s="2" t="str">
        <f>_xlfn.XLOOKUP(C308, customers!$A:$A, customers!$G:$G,,0)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f>INDEX(products!$A$1:$G$49,MATCH(orders!$D308,products!$A$1:$A$49,0),MATCH(orders!L$1,products!$A$1:$G$1,0))</f>
        <v>2.9849999999999999</v>
      </c>
      <c r="M308">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cm="1">
        <f t="array" ref="F309">_xlfn.XLOOKUP(C309,customers!$A$1:$A1308,customers!$B$1:$B1308,,0)</f>
        <v>Ermin Beeble</v>
      </c>
      <c r="G309" s="2" t="str">
        <f>IF(_xlfn.XLOOKUP(C309, customers!$A:$A, customers!$C:$C,,0)=0, "", _xlfn.XLOOKUP(C309, customers!$A:$A, customers!$C:$C,,0))</f>
        <v>ebeeble8j@soundcloud.com</v>
      </c>
      <c r="H309" s="2" t="str">
        <f>_xlfn.XLOOKUP(C309, customers!$A:$A, customers!$G:$G,,0)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f>INDEX(products!$A$1:$G$49,MATCH(orders!$D309,products!$A$1:$A$49,0),MATCH(orders!L$1,products!$A$1:$G$1,0))</f>
        <v>11.25</v>
      </c>
      <c r="M309">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cm="1">
        <f t="array" ref="F310">_xlfn.XLOOKUP(C310,customers!$A$1:$A1309,customers!$B$1:$B1309,,0)</f>
        <v>Cos Fluin</v>
      </c>
      <c r="G310" s="2" t="str">
        <f>IF(_xlfn.XLOOKUP(C310, customers!$A:$A, customers!$C:$C,,0)=0, "", _xlfn.XLOOKUP(C310, customers!$A:$A, customers!$C:$C,,0))</f>
        <v>cfluin8k@flickr.com</v>
      </c>
      <c r="H310" s="2" t="str">
        <f>_xlfn.XLOOKUP(C310, customers!$A:$A, customers!$G:$G,,0)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f>INDEX(products!$A$1:$G$49,MATCH(orders!$D310,products!$A$1:$A$49,0),MATCH(orders!L$1,products!$A$1:$G$1,0))</f>
        <v>11.25</v>
      </c>
      <c r="M310">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cm="1">
        <f t="array" ref="F311">_xlfn.XLOOKUP(C311,customers!$A$1:$A1310,customers!$B$1:$B1310,,0)</f>
        <v>Eveleen Bletsor</v>
      </c>
      <c r="G311" s="2" t="str">
        <f>IF(_xlfn.XLOOKUP(C311, customers!$A:$A, customers!$C:$C,,0)=0, "", _xlfn.XLOOKUP(C311, customers!$A:$A, customers!$C:$C,,0))</f>
        <v>ebletsor8l@vinaora.com</v>
      </c>
      <c r="H311" s="2" t="str">
        <f>_xlfn.XLOOKUP(C311, customers!$A:$A, customers!$G:$G,,0)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f>INDEX(products!$A$1:$G$49,MATCH(orders!$D311,products!$A$1:$A$49,0),MATCH(orders!L$1,products!$A$1:$G$1,0))</f>
        <v>4.3650000000000002</v>
      </c>
      <c r="M311">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cm="1">
        <f t="array" ref="F312">_xlfn.XLOOKUP(C312,customers!$A$1:$A1311,customers!$B$1:$B1311,,0)</f>
        <v>Paola Brydell</v>
      </c>
      <c r="G312" s="2" t="str">
        <f>IF(_xlfn.XLOOKUP(C312, customers!$A:$A, customers!$C:$C,,0)=0, "", _xlfn.XLOOKUP(C312, customers!$A:$A, customers!$C:$C,,0))</f>
        <v>pbrydell8m@bloglovin.com</v>
      </c>
      <c r="H312" s="2" t="str">
        <f>_xlfn.XLOOKUP(C312, customers!$A:$A, customers!$G:$G,,0)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f>INDEX(products!$A$1:$G$49,MATCH(orders!$D312,products!$A$1:$A$49,0),MATCH(orders!L$1,products!$A$1:$G$1,0))</f>
        <v>14.85</v>
      </c>
      <c r="M312">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cm="1">
        <f t="array" ref="F313">_xlfn.XLOOKUP(C313,customers!$A$1:$A1312,customers!$B$1:$B1312,,0)</f>
        <v>Claudetta Rushe</v>
      </c>
      <c r="G313" s="2" t="str">
        <f>IF(_xlfn.XLOOKUP(C313, customers!$A:$A, customers!$C:$C,,0)=0, "", _xlfn.XLOOKUP(C313, customers!$A:$A, customers!$C:$C,,0))</f>
        <v>crushe8n@about.me</v>
      </c>
      <c r="H313" s="2" t="str">
        <f>_xlfn.XLOOKUP(C313, customers!$A:$A, customers!$G:$G,,0)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f>INDEX(products!$A$1:$G$49,MATCH(orders!$D313,products!$A$1:$A$49,0),MATCH(orders!L$1,products!$A$1:$G$1,0))</f>
        <v>31.624999999999996</v>
      </c>
      <c r="M313">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cm="1">
        <f t="array" ref="F314">_xlfn.XLOOKUP(C314,customers!$A$1:$A1313,customers!$B$1:$B1313,,0)</f>
        <v>Natka Leethem</v>
      </c>
      <c r="G314" s="2" t="str">
        <f>IF(_xlfn.XLOOKUP(C314, customers!$A:$A, customers!$C:$C,,0)=0, "", _xlfn.XLOOKUP(C314, customers!$A:$A, customers!$C:$C,,0))</f>
        <v>nleethem8o@mac.com</v>
      </c>
      <c r="H314" s="2" t="str">
        <f>_xlfn.XLOOKUP(C314, customers!$A:$A, customers!$G:$G,,0)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f>INDEX(products!$A$1:$G$49,MATCH(orders!$D314,products!$A$1:$A$49,0),MATCH(orders!L$1,products!$A$1:$G$1,0))</f>
        <v>5.97</v>
      </c>
      <c r="M314">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cm="1">
        <f t="array" ref="F315">_xlfn.XLOOKUP(C315,customers!$A$1:$A1314,customers!$B$1:$B1314,,0)</f>
        <v>Ailene Nesfield</v>
      </c>
      <c r="G315" s="2" t="str">
        <f>IF(_xlfn.XLOOKUP(C315, customers!$A:$A, customers!$C:$C,,0)=0, "", _xlfn.XLOOKUP(C315, customers!$A:$A, customers!$C:$C,,0))</f>
        <v>anesfield8p@people.com.cn</v>
      </c>
      <c r="H315" s="2" t="str">
        <f>_xlfn.XLOOKUP(C315, customers!$A:$A, customers!$G:$G,,0)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f>INDEX(products!$A$1:$G$49,MATCH(orders!$D315,products!$A$1:$A$49,0),MATCH(orders!L$1,products!$A$1:$G$1,0))</f>
        <v>9.9499999999999993</v>
      </c>
      <c r="M31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cm="1">
        <f t="array" ref="F316">_xlfn.XLOOKUP(C316,customers!$A$1:$A1315,customers!$B$1:$B1315,,0)</f>
        <v>Stacy Pickworth</v>
      </c>
      <c r="G316" s="2" t="str">
        <f>IF(_xlfn.XLOOKUP(C316, customers!$A:$A, customers!$C:$C,,0)=0, "", _xlfn.XLOOKUP(C316, customers!$A:$A, customers!$C:$C,,0))</f>
        <v/>
      </c>
      <c r="H316" s="2" t="str">
        <f>_xlfn.XLOOKUP(C316, customers!$A:$A, customers!$G:$G,,0)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f>INDEX(products!$A$1:$G$49,MATCH(orders!$D316,products!$A$1:$A$49,0),MATCH(orders!L$1,products!$A$1:$G$1,0))</f>
        <v>8.9499999999999993</v>
      </c>
      <c r="M316">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cm="1">
        <f t="array" ref="F317">_xlfn.XLOOKUP(C317,customers!$A$1:$A1316,customers!$B$1:$B1316,,0)</f>
        <v>Melli Brockway</v>
      </c>
      <c r="G317" s="2" t="str">
        <f>IF(_xlfn.XLOOKUP(C317, customers!$A:$A, customers!$C:$C,,0)=0, "", _xlfn.XLOOKUP(C317, customers!$A:$A, customers!$C:$C,,0))</f>
        <v>mbrockway8r@ibm.com</v>
      </c>
      <c r="H317" s="2" t="str">
        <f>_xlfn.XLOOKUP(C317, customers!$A:$A, customers!$G:$G,,0)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f>INDEX(products!$A$1:$G$49,MATCH(orders!$D317,products!$A$1:$A$49,0),MATCH(orders!L$1,products!$A$1:$G$1,0))</f>
        <v>34.154999999999994</v>
      </c>
      <c r="M317">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cm="1">
        <f t="array" ref="F318">_xlfn.XLOOKUP(C318,customers!$A$1:$A1317,customers!$B$1:$B1317,,0)</f>
        <v>Nanny Lush</v>
      </c>
      <c r="G318" s="2" t="str">
        <f>IF(_xlfn.XLOOKUP(C318, customers!$A:$A, customers!$C:$C,,0)=0, "", _xlfn.XLOOKUP(C318, customers!$A:$A, customers!$C:$C,,0))</f>
        <v>nlush8s@dedecms.com</v>
      </c>
      <c r="H318" s="2" t="str">
        <f>_xlfn.XLOOKUP(C318, customers!$A:$A, customers!$G:$G,,0)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f>INDEX(products!$A$1:$G$49,MATCH(orders!$D318,products!$A$1:$A$49,0),MATCH(orders!L$1,products!$A$1:$G$1,0))</f>
        <v>34.154999999999994</v>
      </c>
      <c r="M318">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cm="1">
        <f t="array" ref="F319">_xlfn.XLOOKUP(C319,customers!$A$1:$A1318,customers!$B$1:$B1318,,0)</f>
        <v>Selma McMillian</v>
      </c>
      <c r="G319" s="2" t="str">
        <f>IF(_xlfn.XLOOKUP(C319, customers!$A:$A, customers!$C:$C,,0)=0, "", _xlfn.XLOOKUP(C319, customers!$A:$A, customers!$C:$C,,0))</f>
        <v>smcmillian8t@csmonitor.com</v>
      </c>
      <c r="H319" s="2" t="str">
        <f>_xlfn.XLOOKUP(C319, customers!$A:$A, customers!$G:$G,,0)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f>INDEX(products!$A$1:$G$49,MATCH(orders!$D319,products!$A$1:$A$49,0),MATCH(orders!L$1,products!$A$1:$G$1,0))</f>
        <v>7.29</v>
      </c>
      <c r="M319">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cm="1">
        <f t="array" ref="F320">_xlfn.XLOOKUP(C320,customers!$A$1:$A1319,customers!$B$1:$B1319,,0)</f>
        <v>Tess Bennison</v>
      </c>
      <c r="G320" s="2" t="str">
        <f>IF(_xlfn.XLOOKUP(C320, customers!$A:$A, customers!$C:$C,,0)=0, "", _xlfn.XLOOKUP(C320, customers!$A:$A, customers!$C:$C,,0))</f>
        <v>tbennison8u@google.cn</v>
      </c>
      <c r="H320" s="2" t="str">
        <f>_xlfn.XLOOKUP(C320, customers!$A:$A, customers!$G:$G,,0)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f>INDEX(products!$A$1:$G$49,MATCH(orders!$D320,products!$A$1:$A$49,0),MATCH(orders!L$1,products!$A$1:$G$1,0))</f>
        <v>25.874999999999996</v>
      </c>
      <c r="M320">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cm="1">
        <f t="array" ref="F321">_xlfn.XLOOKUP(C321,customers!$A$1:$A1320,customers!$B$1:$B1320,,0)</f>
        <v>Gabie Tweed</v>
      </c>
      <c r="G321" s="2" t="str">
        <f>IF(_xlfn.XLOOKUP(C321, customers!$A:$A, customers!$C:$C,,0)=0, "", _xlfn.XLOOKUP(C321, customers!$A:$A, customers!$C:$C,,0))</f>
        <v>gtweed8v@yolasite.com</v>
      </c>
      <c r="H321" s="2" t="str">
        <f>_xlfn.XLOOKUP(C321, customers!$A:$A, customers!$G:$G,,0)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f>INDEX(products!$A$1:$G$49,MATCH(orders!$D321,products!$A$1:$A$49,0),MATCH(orders!L$1,products!$A$1:$G$1,0))</f>
        <v>4.125</v>
      </c>
      <c r="M321">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cm="1">
        <f t="array" ref="F322">_xlfn.XLOOKUP(C322,customers!$A$1:$A1321,customers!$B$1:$B1321,,0)</f>
        <v>Gabie Tweed</v>
      </c>
      <c r="G322" s="2" t="str">
        <f>IF(_xlfn.XLOOKUP(C322, customers!$A:$A, customers!$C:$C,,0)=0, "", _xlfn.XLOOKUP(C322, customers!$A:$A, customers!$C:$C,,0))</f>
        <v>gtweed8v@yolasite.com</v>
      </c>
      <c r="H322" s="2" t="str">
        <f>_xlfn.XLOOKUP(C322, customers!$A:$A, customers!$G:$G,,0)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f>INDEX(products!$A$1:$G$49,MATCH(orders!$D322,products!$A$1:$A$49,0),MATCH(orders!L$1,products!$A$1:$G$1,0))</f>
        <v>3.8849999999999998</v>
      </c>
      <c r="M322">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cm="1">
        <f t="array" ref="F323">_xlfn.XLOOKUP(C323,customers!$A$1:$A1322,customers!$B$1:$B1322,,0)</f>
        <v>Gaile Goggin</v>
      </c>
      <c r="G323" s="2" t="str">
        <f>IF(_xlfn.XLOOKUP(C323, customers!$A:$A, customers!$C:$C,,0)=0, "", _xlfn.XLOOKUP(C323, customers!$A:$A, customers!$C:$C,,0))</f>
        <v>ggoggin8x@wix.com</v>
      </c>
      <c r="H323" s="2" t="str">
        <f>_xlfn.XLOOKUP(C323, customers!$A:$A, customers!$G:$G,,0)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f>INDEX(products!$A$1:$G$49,MATCH(orders!$D323,products!$A$1:$A$49,0),MATCH(orders!L$1,products!$A$1:$G$1,0))</f>
        <v>3.375</v>
      </c>
      <c r="M323">
        <f t="shared" ref="M323:M386" si="15">L323*E323</f>
        <v>20.25</v>
      </c>
      <c r="N323" t="str">
        <f t="shared" ref="N323:N386" si="16">IF(I323="Rob", "Robusta", IF(I323="Exc","Excelsa",IF(I323="Ara","Arabica", 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cm="1">
        <f t="array" ref="F324">_xlfn.XLOOKUP(C324,customers!$A$1:$A1323,customers!$B$1:$B1323,,0)</f>
        <v>Skylar Jeyness</v>
      </c>
      <c r="G324" s="2" t="str">
        <f>IF(_xlfn.XLOOKUP(C324, customers!$A:$A, customers!$C:$C,,0)=0, "", _xlfn.XLOOKUP(C324, customers!$A:$A, customers!$C:$C,,0))</f>
        <v>sjeyness8y@biglobe.ne.jp</v>
      </c>
      <c r="H324" s="2" t="str">
        <f>_xlfn.XLOOKUP(C324, customers!$A:$A, customers!$G:$G,,0)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f>INDEX(products!$A$1:$G$49,MATCH(orders!$D324,products!$A$1:$A$49,0),MATCH(orders!L$1,products!$A$1:$G$1,0))</f>
        <v>7.77</v>
      </c>
      <c r="M324">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cm="1">
        <f t="array" ref="F325">_xlfn.XLOOKUP(C325,customers!$A$1:$A1324,customers!$B$1:$B1324,,0)</f>
        <v>Donica Bonhome</v>
      </c>
      <c r="G325" s="2" t="str">
        <f>IF(_xlfn.XLOOKUP(C325, customers!$A:$A, customers!$C:$C,,0)=0, "", _xlfn.XLOOKUP(C325, customers!$A:$A, customers!$C:$C,,0))</f>
        <v>dbonhome8z@shinystat.com</v>
      </c>
      <c r="H325" s="2" t="str">
        <f>_xlfn.XLOOKUP(C325, customers!$A:$A, customers!$G:$G,,0)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f>INDEX(products!$A$1:$G$49,MATCH(orders!$D325,products!$A$1:$A$49,0),MATCH(orders!L$1,products!$A$1:$G$1,0))</f>
        <v>3.645</v>
      </c>
      <c r="M32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cm="1">
        <f t="array" ref="F326">_xlfn.XLOOKUP(C326,customers!$A$1:$A1325,customers!$B$1:$B1325,,0)</f>
        <v>Diena Peetermann</v>
      </c>
      <c r="G326" s="2" t="str">
        <f>IF(_xlfn.XLOOKUP(C326, customers!$A:$A, customers!$C:$C,,0)=0, "", _xlfn.XLOOKUP(C326, customers!$A:$A, customers!$C:$C,,0))</f>
        <v/>
      </c>
      <c r="H326" s="2" t="str">
        <f>_xlfn.XLOOKUP(C326, customers!$A:$A, customers!$G:$G,,0)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f>INDEX(products!$A$1:$G$49,MATCH(orders!$D326,products!$A$1:$A$49,0),MATCH(orders!L$1,products!$A$1:$G$1,0))</f>
        <v>13.75</v>
      </c>
      <c r="M326">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cm="1">
        <f t="array" ref="F327">_xlfn.XLOOKUP(C327,customers!$A$1:$A1326,customers!$B$1:$B1326,,0)</f>
        <v>Trina Le Sarr</v>
      </c>
      <c r="G327" s="2" t="str">
        <f>IF(_xlfn.XLOOKUP(C327, customers!$A:$A, customers!$C:$C,,0)=0, "", _xlfn.XLOOKUP(C327, customers!$A:$A, customers!$C:$C,,0))</f>
        <v>tle91@epa.gov</v>
      </c>
      <c r="H327" s="2" t="str">
        <f>_xlfn.XLOOKUP(C327, customers!$A:$A, customers!$G:$G,,0)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f>INDEX(products!$A$1:$G$49,MATCH(orders!$D327,products!$A$1:$A$49,0),MATCH(orders!L$1,products!$A$1:$G$1,0))</f>
        <v>29.784999999999997</v>
      </c>
      <c r="M327">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cm="1">
        <f t="array" ref="F328">_xlfn.XLOOKUP(C328,customers!$A$1:$A1327,customers!$B$1:$B1327,,0)</f>
        <v>Flynn Antony</v>
      </c>
      <c r="G328" s="2" t="str">
        <f>IF(_xlfn.XLOOKUP(C328, customers!$A:$A, customers!$C:$C,,0)=0, "", _xlfn.XLOOKUP(C328, customers!$A:$A, customers!$C:$C,,0))</f>
        <v/>
      </c>
      <c r="H328" s="2" t="str">
        <f>_xlfn.XLOOKUP(C328, customers!$A:$A, customers!$G:$G,,0)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f>INDEX(products!$A$1:$G$49,MATCH(orders!$D328,products!$A$1:$A$49,0),MATCH(orders!L$1,products!$A$1:$G$1,0))</f>
        <v>8.9499999999999993</v>
      </c>
      <c r="M328">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cm="1">
        <f t="array" ref="F329">_xlfn.XLOOKUP(C329,customers!$A$1:$A1328,customers!$B$1:$B1328,,0)</f>
        <v>Baudoin Alldridge</v>
      </c>
      <c r="G329" s="2" t="str">
        <f>IF(_xlfn.XLOOKUP(C329, customers!$A:$A, customers!$C:$C,,0)=0, "", _xlfn.XLOOKUP(C329, customers!$A:$A, customers!$C:$C,,0))</f>
        <v>balldridge93@yandex.ru</v>
      </c>
      <c r="H329" s="2" t="str">
        <f>_xlfn.XLOOKUP(C329, customers!$A:$A, customers!$G:$G,,0)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f>INDEX(products!$A$1:$G$49,MATCH(orders!$D329,products!$A$1:$A$49,0),MATCH(orders!L$1,products!$A$1:$G$1,0))</f>
        <v>8.9499999999999993</v>
      </c>
      <c r="M329">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cm="1">
        <f t="array" ref="F330">_xlfn.XLOOKUP(C330,customers!$A$1:$A1329,customers!$B$1:$B1329,,0)</f>
        <v>Homer Dulany</v>
      </c>
      <c r="G330" s="2" t="str">
        <f>IF(_xlfn.XLOOKUP(C330, customers!$A:$A, customers!$C:$C,,0)=0, "", _xlfn.XLOOKUP(C330, customers!$A:$A, customers!$C:$C,,0))</f>
        <v/>
      </c>
      <c r="H330" s="2" t="str">
        <f>_xlfn.XLOOKUP(C330, customers!$A:$A, customers!$G:$G,,0)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f>INDEX(products!$A$1:$G$49,MATCH(orders!$D330,products!$A$1:$A$49,0),MATCH(orders!L$1,products!$A$1:$G$1,0))</f>
        <v>9.51</v>
      </c>
      <c r="M330">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cm="1">
        <f t="array" ref="F331">_xlfn.XLOOKUP(C331,customers!$A$1:$A1330,customers!$B$1:$B1330,,0)</f>
        <v>Lisa Goodger</v>
      </c>
      <c r="G331" s="2" t="str">
        <f>IF(_xlfn.XLOOKUP(C331, customers!$A:$A, customers!$C:$C,,0)=0, "", _xlfn.XLOOKUP(C331, customers!$A:$A, customers!$C:$C,,0))</f>
        <v>lgoodger95@guardian.co.uk</v>
      </c>
      <c r="H331" s="2" t="str">
        <f>_xlfn.XLOOKUP(C331, customers!$A:$A, customers!$G:$G,,0)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f>INDEX(products!$A$1:$G$49,MATCH(orders!$D331,products!$A$1:$A$49,0),MATCH(orders!L$1,products!$A$1:$G$1,0))</f>
        <v>5.3699999999999992</v>
      </c>
      <c r="M331">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cm="1">
        <f t="array" ref="F332">_xlfn.XLOOKUP(C332,customers!$A$1:$A1331,customers!$B$1:$B1331,,0)</f>
        <v>Selma McMillian</v>
      </c>
      <c r="G332" s="2" t="str">
        <f>IF(_xlfn.XLOOKUP(C332, customers!$A:$A, customers!$C:$C,,0)=0, "", _xlfn.XLOOKUP(C332, customers!$A:$A, customers!$C:$C,,0))</f>
        <v>smcmillian8t@csmonitor.com</v>
      </c>
      <c r="H332" s="2" t="str">
        <f>_xlfn.XLOOKUP(C332, customers!$A:$A, customers!$G:$G,,0)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f>INDEX(products!$A$1:$G$49,MATCH(orders!$D332,products!$A$1:$A$49,0),MATCH(orders!L$1,products!$A$1:$G$1,0))</f>
        <v>5.3699999999999992</v>
      </c>
      <c r="M332">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cm="1">
        <f t="array" ref="F333">_xlfn.XLOOKUP(C333,customers!$A$1:$A1332,customers!$B$1:$B1332,,0)</f>
        <v>Corine Drewett</v>
      </c>
      <c r="G333" s="2" t="str">
        <f>IF(_xlfn.XLOOKUP(C333, customers!$A:$A, customers!$C:$C,,0)=0, "", _xlfn.XLOOKUP(C333, customers!$A:$A, customers!$C:$C,,0))</f>
        <v>cdrewett97@wikipedia.org</v>
      </c>
      <c r="H333" s="2" t="str">
        <f>_xlfn.XLOOKUP(C333, customers!$A:$A, customers!$G:$G,,0)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f>INDEX(products!$A$1:$G$49,MATCH(orders!$D333,products!$A$1:$A$49,0),MATCH(orders!L$1,products!$A$1:$G$1,0))</f>
        <v>22.884999999999998</v>
      </c>
      <c r="M333">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cm="1">
        <f t="array" ref="F334">_xlfn.XLOOKUP(C334,customers!$A$1:$A1333,customers!$B$1:$B1333,,0)</f>
        <v>Quinn Parsons</v>
      </c>
      <c r="G334" s="2" t="str">
        <f>IF(_xlfn.XLOOKUP(C334, customers!$A:$A, customers!$C:$C,,0)=0, "", _xlfn.XLOOKUP(C334, customers!$A:$A, customers!$C:$C,,0))</f>
        <v>qparsons98@blogtalkradio.com</v>
      </c>
      <c r="H334" s="2" t="str">
        <f>_xlfn.XLOOKUP(C334, customers!$A:$A, customers!$G:$G,,0)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f>INDEX(products!$A$1:$G$49,MATCH(orders!$D334,products!$A$1:$A$49,0),MATCH(orders!L$1,products!$A$1:$G$1,0))</f>
        <v>5.97</v>
      </c>
      <c r="M334">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cm="1">
        <f t="array" ref="F335">_xlfn.XLOOKUP(C335,customers!$A$1:$A1334,customers!$B$1:$B1334,,0)</f>
        <v>Vivyan Ceely</v>
      </c>
      <c r="G335" s="2" t="str">
        <f>IF(_xlfn.XLOOKUP(C335, customers!$A:$A, customers!$C:$C,,0)=0, "", _xlfn.XLOOKUP(C335, customers!$A:$A, customers!$C:$C,,0))</f>
        <v>vceely99@auda.org.au</v>
      </c>
      <c r="H335" s="2" t="str">
        <f>_xlfn.XLOOKUP(C335, customers!$A:$A, customers!$G:$G,,0)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f>INDEX(products!$A$1:$G$49,MATCH(orders!$D335,products!$A$1:$A$49,0),MATCH(orders!L$1,products!$A$1:$G$1,0))</f>
        <v>5.97</v>
      </c>
      <c r="M33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cm="1">
        <f t="array" ref="F336">_xlfn.XLOOKUP(C336,customers!$A$1:$A1335,customers!$B$1:$B1335,,0)</f>
        <v>Elonore Goodings</v>
      </c>
      <c r="G336" s="2" t="str">
        <f>IF(_xlfn.XLOOKUP(C336, customers!$A:$A, customers!$C:$C,,0)=0, "", _xlfn.XLOOKUP(C336, customers!$A:$A, customers!$C:$C,,0))</f>
        <v/>
      </c>
      <c r="H336" s="2" t="str">
        <f>_xlfn.XLOOKUP(C336, customers!$A:$A, customers!$G:$G,,0)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f>INDEX(products!$A$1:$G$49,MATCH(orders!$D336,products!$A$1:$A$49,0),MATCH(orders!L$1,products!$A$1:$G$1,0))</f>
        <v>11.95</v>
      </c>
      <c r="M336">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cm="1">
        <f t="array" ref="F337">_xlfn.XLOOKUP(C337,customers!$A$1:$A1336,customers!$B$1:$B1336,,0)</f>
        <v>Clement Vasiliev</v>
      </c>
      <c r="G337" s="2" t="str">
        <f>IF(_xlfn.XLOOKUP(C337, customers!$A:$A, customers!$C:$C,,0)=0, "", _xlfn.XLOOKUP(C337, customers!$A:$A, customers!$C:$C,,0))</f>
        <v>cvasiliev9b@discuz.net</v>
      </c>
      <c r="H337" s="2" t="str">
        <f>_xlfn.XLOOKUP(C337, customers!$A:$A, customers!$G:$G,,0)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f>INDEX(products!$A$1:$G$49,MATCH(orders!$D337,products!$A$1:$A$49,0),MATCH(orders!L$1,products!$A$1:$G$1,0))</f>
        <v>4.7549999999999999</v>
      </c>
      <c r="M337">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cm="1">
        <f t="array" ref="F338">_xlfn.XLOOKUP(C338,customers!$A$1:$A1337,customers!$B$1:$B1337,,0)</f>
        <v>Terencio O'Moylan</v>
      </c>
      <c r="G338" s="2" t="str">
        <f>IF(_xlfn.XLOOKUP(C338, customers!$A:$A, customers!$C:$C,,0)=0, "", _xlfn.XLOOKUP(C338, customers!$A:$A, customers!$C:$C,,0))</f>
        <v>tomoylan9c@liveinternet.ru</v>
      </c>
      <c r="H338" s="2" t="str">
        <f>_xlfn.XLOOKUP(C338, customers!$A:$A, customers!$G:$G,,0)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f>INDEX(products!$A$1:$G$49,MATCH(orders!$D338,products!$A$1:$A$49,0),MATCH(orders!L$1,products!$A$1:$G$1,0))</f>
        <v>11.25</v>
      </c>
      <c r="M338">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cm="1">
        <f t="array" ref="F339">_xlfn.XLOOKUP(C339,customers!$A$1:$A1338,customers!$B$1:$B1338,,0)</f>
        <v>Flynn Antony</v>
      </c>
      <c r="G339" s="2" t="str">
        <f>IF(_xlfn.XLOOKUP(C339, customers!$A:$A, customers!$C:$C,,0)=0, "", _xlfn.XLOOKUP(C339, customers!$A:$A, customers!$C:$C,,0))</f>
        <v/>
      </c>
      <c r="H339" s="2" t="str">
        <f>_xlfn.XLOOKUP(C339, customers!$A:$A, customers!$G:$G,,0)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f>INDEX(products!$A$1:$G$49,MATCH(orders!$D339,products!$A$1:$A$49,0),MATCH(orders!L$1,products!$A$1:$G$1,0))</f>
        <v>27.945</v>
      </c>
      <c r="M339">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cm="1">
        <f t="array" ref="F340">_xlfn.XLOOKUP(C340,customers!$A$1:$A1339,customers!$B$1:$B1339,,0)</f>
        <v>Wyatan Fetherston</v>
      </c>
      <c r="G340" s="2" t="str">
        <f>IF(_xlfn.XLOOKUP(C340, customers!$A:$A, customers!$C:$C,,0)=0, "", _xlfn.XLOOKUP(C340, customers!$A:$A, customers!$C:$C,,0))</f>
        <v>wfetherston9e@constantcontact.com</v>
      </c>
      <c r="H340" s="2" t="str">
        <f>_xlfn.XLOOKUP(C340, customers!$A:$A, customers!$G:$G,,0)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f>INDEX(products!$A$1:$G$49,MATCH(orders!$D340,products!$A$1:$A$49,0),MATCH(orders!L$1,products!$A$1:$G$1,0))</f>
        <v>14.85</v>
      </c>
      <c r="M340">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cm="1">
        <f t="array" ref="F341">_xlfn.XLOOKUP(C341,customers!$A$1:$A1340,customers!$B$1:$B1340,,0)</f>
        <v>Emmaline Rasmus</v>
      </c>
      <c r="G341" s="2" t="str">
        <f>IF(_xlfn.XLOOKUP(C341, customers!$A:$A, customers!$C:$C,,0)=0, "", _xlfn.XLOOKUP(C341, customers!$A:$A, customers!$C:$C,,0))</f>
        <v>erasmus9f@techcrunch.com</v>
      </c>
      <c r="H341" s="2" t="str">
        <f>_xlfn.XLOOKUP(C341, customers!$A:$A, customers!$G:$G,,0)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f>INDEX(products!$A$1:$G$49,MATCH(orders!$D341,products!$A$1:$A$49,0),MATCH(orders!L$1,products!$A$1:$G$1,0))</f>
        <v>3.645</v>
      </c>
      <c r="M341">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cm="1">
        <f t="array" ref="F342">_xlfn.XLOOKUP(C342,customers!$A$1:$A1341,customers!$B$1:$B1341,,0)</f>
        <v>Wesley Giorgioni</v>
      </c>
      <c r="G342" s="2" t="str">
        <f>IF(_xlfn.XLOOKUP(C342, customers!$A:$A, customers!$C:$C,,0)=0, "", _xlfn.XLOOKUP(C342, customers!$A:$A, customers!$C:$C,,0))</f>
        <v>wgiorgioni9g@wikipedia.org</v>
      </c>
      <c r="H342" s="2" t="str">
        <f>_xlfn.XLOOKUP(C342, customers!$A:$A, customers!$G:$G,,0)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f>INDEX(products!$A$1:$G$49,MATCH(orders!$D342,products!$A$1:$A$49,0),MATCH(orders!L$1,products!$A$1:$G$1,0))</f>
        <v>7.29</v>
      </c>
      <c r="M342">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cm="1">
        <f t="array" ref="F343">_xlfn.XLOOKUP(C343,customers!$A$1:$A1342,customers!$B$1:$B1342,,0)</f>
        <v>Lucienne Scargle</v>
      </c>
      <c r="G343" s="2" t="str">
        <f>IF(_xlfn.XLOOKUP(C343, customers!$A:$A, customers!$C:$C,,0)=0, "", _xlfn.XLOOKUP(C343, customers!$A:$A, customers!$C:$C,,0))</f>
        <v>lscargle9h@myspace.com</v>
      </c>
      <c r="H343" s="2" t="str">
        <f>_xlfn.XLOOKUP(C343, customers!$A:$A, customers!$G:$G,,0)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f>INDEX(products!$A$1:$G$49,MATCH(orders!$D343,products!$A$1:$A$49,0),MATCH(orders!L$1,products!$A$1:$G$1,0))</f>
        <v>8.91</v>
      </c>
      <c r="M343">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cm="1">
        <f t="array" ref="F344">_xlfn.XLOOKUP(C344,customers!$A$1:$A1343,customers!$B$1:$B1343,,0)</f>
        <v>Lucienne Scargle</v>
      </c>
      <c r="G344" s="2" t="str">
        <f>IF(_xlfn.XLOOKUP(C344, customers!$A:$A, customers!$C:$C,,0)=0, "", _xlfn.XLOOKUP(C344, customers!$A:$A, customers!$C:$C,,0))</f>
        <v>lscargle9h@myspace.com</v>
      </c>
      <c r="H344" s="2" t="str">
        <f>_xlfn.XLOOKUP(C344, customers!$A:$A, customers!$G:$G,,0)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f>INDEX(products!$A$1:$G$49,MATCH(orders!$D344,products!$A$1:$A$49,0),MATCH(orders!L$1,products!$A$1:$G$1,0))</f>
        <v>7.77</v>
      </c>
      <c r="M344">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cm="1">
        <f t="array" ref="F345">_xlfn.XLOOKUP(C345,customers!$A$1:$A1344,customers!$B$1:$B1344,,0)</f>
        <v>Noam Climance</v>
      </c>
      <c r="G345" s="2" t="str">
        <f>IF(_xlfn.XLOOKUP(C345, customers!$A:$A, customers!$C:$C,,0)=0, "", _xlfn.XLOOKUP(C345, customers!$A:$A, customers!$C:$C,,0))</f>
        <v>nclimance9j@europa.eu</v>
      </c>
      <c r="H345" s="2" t="str">
        <f>_xlfn.XLOOKUP(C345, customers!$A:$A, customers!$G:$G,,0)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f>INDEX(products!$A$1:$G$49,MATCH(orders!$D345,products!$A$1:$A$49,0),MATCH(orders!L$1,products!$A$1:$G$1,0))</f>
        <v>5.3699999999999992</v>
      </c>
      <c r="M34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cm="1">
        <f t="array" ref="F346">_xlfn.XLOOKUP(C346,customers!$A$1:$A1345,customers!$B$1:$B1345,,0)</f>
        <v>Catarina Donn</v>
      </c>
      <c r="G346" s="2" t="str">
        <f>IF(_xlfn.XLOOKUP(C346, customers!$A:$A, customers!$C:$C,,0)=0, "", _xlfn.XLOOKUP(C346, customers!$A:$A, customers!$C:$C,,0))</f>
        <v/>
      </c>
      <c r="H346" s="2" t="str">
        <f>_xlfn.XLOOKUP(C346, customers!$A:$A, customers!$G:$G,,0)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f>INDEX(products!$A$1:$G$49,MATCH(orders!$D346,products!$A$1:$A$49,0),MATCH(orders!L$1,products!$A$1:$G$1,0))</f>
        <v>9.9499999999999993</v>
      </c>
      <c r="M346">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cm="1">
        <f t="array" ref="F347">_xlfn.XLOOKUP(C347,customers!$A$1:$A1346,customers!$B$1:$B1346,,0)</f>
        <v>Ameline Snazle</v>
      </c>
      <c r="G347" s="2" t="str">
        <f>IF(_xlfn.XLOOKUP(C347, customers!$A:$A, customers!$C:$C,,0)=0, "", _xlfn.XLOOKUP(C347, customers!$A:$A, customers!$C:$C,,0))</f>
        <v>asnazle9l@oracle.com</v>
      </c>
      <c r="H347" s="2" t="str">
        <f>_xlfn.XLOOKUP(C347, customers!$A:$A, customers!$G:$G,,0)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f>INDEX(products!$A$1:$G$49,MATCH(orders!$D347,products!$A$1:$A$49,0),MATCH(orders!L$1,products!$A$1:$G$1,0))</f>
        <v>11.95</v>
      </c>
      <c r="M347">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cm="1">
        <f t="array" ref="F348">_xlfn.XLOOKUP(C348,customers!$A$1:$A1347,customers!$B$1:$B1347,,0)</f>
        <v>Rebeka Worg</v>
      </c>
      <c r="G348" s="2" t="str">
        <f>IF(_xlfn.XLOOKUP(C348, customers!$A:$A, customers!$C:$C,,0)=0, "", _xlfn.XLOOKUP(C348, customers!$A:$A, customers!$C:$C,,0))</f>
        <v>rworg9m@arstechnica.com</v>
      </c>
      <c r="H348" s="2" t="str">
        <f>_xlfn.XLOOKUP(C348, customers!$A:$A, customers!$G:$G,,0)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f>INDEX(products!$A$1:$G$49,MATCH(orders!$D348,products!$A$1:$A$49,0),MATCH(orders!L$1,products!$A$1:$G$1,0))</f>
        <v>7.77</v>
      </c>
      <c r="M348">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cm="1">
        <f t="array" ref="F349">_xlfn.XLOOKUP(C349,customers!$A$1:$A1348,customers!$B$1:$B1348,,0)</f>
        <v>Lewes Danes</v>
      </c>
      <c r="G349" s="2" t="str">
        <f>IF(_xlfn.XLOOKUP(C349, customers!$A:$A, customers!$C:$C,,0)=0, "", _xlfn.XLOOKUP(C349, customers!$A:$A, customers!$C:$C,,0))</f>
        <v>ldanes9n@umn.edu</v>
      </c>
      <c r="H349" s="2" t="str">
        <f>_xlfn.XLOOKUP(C349, customers!$A:$A, customers!$G:$G,,0)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f>INDEX(products!$A$1:$G$49,MATCH(orders!$D349,products!$A$1:$A$49,0),MATCH(orders!L$1,products!$A$1:$G$1,0))</f>
        <v>14.55</v>
      </c>
      <c r="M349">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cm="1">
        <f t="array" ref="F350">_xlfn.XLOOKUP(C350,customers!$A$1:$A1349,customers!$B$1:$B1349,,0)</f>
        <v>Shelli Keynd</v>
      </c>
      <c r="G350" s="2" t="str">
        <f>IF(_xlfn.XLOOKUP(C350, customers!$A:$A, customers!$C:$C,,0)=0, "", _xlfn.XLOOKUP(C350, customers!$A:$A, customers!$C:$C,,0))</f>
        <v>skeynd9o@narod.ru</v>
      </c>
      <c r="H350" s="2" t="str">
        <f>_xlfn.XLOOKUP(C350, customers!$A:$A, customers!$G:$G,,0)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f>INDEX(products!$A$1:$G$49,MATCH(orders!$D350,products!$A$1:$A$49,0),MATCH(orders!L$1,products!$A$1:$G$1,0))</f>
        <v>34.154999999999994</v>
      </c>
      <c r="M350">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cm="1">
        <f t="array" ref="F351">_xlfn.XLOOKUP(C351,customers!$A$1:$A1350,customers!$B$1:$B1350,,0)</f>
        <v>Dell Daveridge</v>
      </c>
      <c r="G351" s="2" t="str">
        <f>IF(_xlfn.XLOOKUP(C351, customers!$A:$A, customers!$C:$C,,0)=0, "", _xlfn.XLOOKUP(C351, customers!$A:$A, customers!$C:$C,,0))</f>
        <v>ddaveridge9p@arstechnica.com</v>
      </c>
      <c r="H351" s="2" t="str">
        <f>_xlfn.XLOOKUP(C351, customers!$A:$A, customers!$G:$G,,0)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f>INDEX(products!$A$1:$G$49,MATCH(orders!$D351,products!$A$1:$A$49,0),MATCH(orders!L$1,products!$A$1:$G$1,0))</f>
        <v>3.5849999999999995</v>
      </c>
      <c r="M351">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cm="1">
        <f t="array" ref="F352">_xlfn.XLOOKUP(C352,customers!$A$1:$A1351,customers!$B$1:$B1351,,0)</f>
        <v>Joshuah Awdry</v>
      </c>
      <c r="G352" s="2" t="str">
        <f>IF(_xlfn.XLOOKUP(C352, customers!$A:$A, customers!$C:$C,,0)=0, "", _xlfn.XLOOKUP(C352, customers!$A:$A, customers!$C:$C,,0))</f>
        <v>jawdry9q@utexas.edu</v>
      </c>
      <c r="H352" s="2" t="str">
        <f>_xlfn.XLOOKUP(C352, customers!$A:$A, customers!$G:$G,,0)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f>INDEX(products!$A$1:$G$49,MATCH(orders!$D352,products!$A$1:$A$49,0),MATCH(orders!L$1,products!$A$1:$G$1,0))</f>
        <v>5.97</v>
      </c>
      <c r="M352">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cm="1">
        <f t="array" ref="F353">_xlfn.XLOOKUP(C353,customers!$A$1:$A1352,customers!$B$1:$B1352,,0)</f>
        <v>Ethel Ryles</v>
      </c>
      <c r="G353" s="2" t="str">
        <f>IF(_xlfn.XLOOKUP(C353, customers!$A:$A, customers!$C:$C,,0)=0, "", _xlfn.XLOOKUP(C353, customers!$A:$A, customers!$C:$C,,0))</f>
        <v>eryles9r@fastcompany.com</v>
      </c>
      <c r="H353" s="2" t="str">
        <f>_xlfn.XLOOKUP(C353, customers!$A:$A, customers!$G:$G,,0)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f>INDEX(products!$A$1:$G$49,MATCH(orders!$D353,products!$A$1:$A$49,0),MATCH(orders!L$1,products!$A$1:$G$1,0))</f>
        <v>11.25</v>
      </c>
      <c r="M353">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cm="1">
        <f t="array" ref="F354">_xlfn.XLOOKUP(C354,customers!$A$1:$A1353,customers!$B$1:$B1353,,0)</f>
        <v>Flynn Antony</v>
      </c>
      <c r="G354" s="2" t="str">
        <f>IF(_xlfn.XLOOKUP(C354, customers!$A:$A, customers!$C:$C,,0)=0, "", _xlfn.XLOOKUP(C354, customers!$A:$A, customers!$C:$C,,0))</f>
        <v/>
      </c>
      <c r="H354" s="2" t="str">
        <f>_xlfn.XLOOKUP(C354, customers!$A:$A, customers!$G:$G,,0)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f>INDEX(products!$A$1:$G$49,MATCH(orders!$D354,products!$A$1:$A$49,0),MATCH(orders!L$1,products!$A$1:$G$1,0))</f>
        <v>7.29</v>
      </c>
      <c r="M354">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cm="1">
        <f t="array" ref="F355">_xlfn.XLOOKUP(C355,customers!$A$1:$A1354,customers!$B$1:$B1354,,0)</f>
        <v>Maitilde Boxill</v>
      </c>
      <c r="G355" s="2" t="str">
        <f>IF(_xlfn.XLOOKUP(C355, customers!$A:$A, customers!$C:$C,,0)=0, "", _xlfn.XLOOKUP(C355, customers!$A:$A, customers!$C:$C,,0))</f>
        <v/>
      </c>
      <c r="H355" s="2" t="str">
        <f>_xlfn.XLOOKUP(C355, customers!$A:$A, customers!$G:$G,,0)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f>INDEX(products!$A$1:$G$49,MATCH(orders!$D355,products!$A$1:$A$49,0),MATCH(orders!L$1,products!$A$1:$G$1,0))</f>
        <v>6.75</v>
      </c>
      <c r="M35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cm="1">
        <f t="array" ref="F356">_xlfn.XLOOKUP(C356,customers!$A$1:$A1355,customers!$B$1:$B1355,,0)</f>
        <v>Jodee Caldicott</v>
      </c>
      <c r="G356" s="2" t="str">
        <f>IF(_xlfn.XLOOKUP(C356, customers!$A:$A, customers!$C:$C,,0)=0, "", _xlfn.XLOOKUP(C356, customers!$A:$A, customers!$C:$C,,0))</f>
        <v>jcaldicott9u@usda.gov</v>
      </c>
      <c r="H356" s="2" t="str">
        <f>_xlfn.XLOOKUP(C356, customers!$A:$A, customers!$G:$G,,0)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f>INDEX(products!$A$1:$G$49,MATCH(orders!$D356,products!$A$1:$A$49,0),MATCH(orders!L$1,products!$A$1:$G$1,0))</f>
        <v>25.874999999999996</v>
      </c>
      <c r="M356">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cm="1">
        <f t="array" ref="F357">_xlfn.XLOOKUP(C357,customers!$A$1:$A1356,customers!$B$1:$B1356,,0)</f>
        <v>Marianna Vedmore</v>
      </c>
      <c r="G357" s="2" t="str">
        <f>IF(_xlfn.XLOOKUP(C357, customers!$A:$A, customers!$C:$C,,0)=0, "", _xlfn.XLOOKUP(C357, customers!$A:$A, customers!$C:$C,,0))</f>
        <v>mvedmore9v@a8.net</v>
      </c>
      <c r="H357" s="2" t="str">
        <f>_xlfn.XLOOKUP(C357, customers!$A:$A, customers!$G:$G,,0)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f>INDEX(products!$A$1:$G$49,MATCH(orders!$D357,products!$A$1:$A$49,0),MATCH(orders!L$1,products!$A$1:$G$1,0))</f>
        <v>22.884999999999998</v>
      </c>
      <c r="M357">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cm="1">
        <f t="array" ref="F358">_xlfn.XLOOKUP(C358,customers!$A$1:$A1357,customers!$B$1:$B1357,,0)</f>
        <v>Willey Romao</v>
      </c>
      <c r="G358" s="2" t="str">
        <f>IF(_xlfn.XLOOKUP(C358, customers!$A:$A, customers!$C:$C,,0)=0, "", _xlfn.XLOOKUP(C358, customers!$A:$A, customers!$C:$C,,0))</f>
        <v>wromao9w@chronoengine.com</v>
      </c>
      <c r="H358" s="2" t="str">
        <f>_xlfn.XLOOKUP(C358, customers!$A:$A, customers!$G:$G,,0)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f>INDEX(products!$A$1:$G$49,MATCH(orders!$D358,products!$A$1:$A$49,0),MATCH(orders!L$1,products!$A$1:$G$1,0))</f>
        <v>12.95</v>
      </c>
      <c r="M358">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cm="1">
        <f t="array" ref="F359">_xlfn.XLOOKUP(C359,customers!$A$1:$A1358,customers!$B$1:$B1358,,0)</f>
        <v>Enriqueta Ixor</v>
      </c>
      <c r="G359" s="2" t="str">
        <f>IF(_xlfn.XLOOKUP(C359, customers!$A:$A, customers!$C:$C,,0)=0, "", _xlfn.XLOOKUP(C359, customers!$A:$A, customers!$C:$C,,0))</f>
        <v/>
      </c>
      <c r="H359" s="2" t="str">
        <f>_xlfn.XLOOKUP(C359, customers!$A:$A, customers!$G:$G,,0)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f>INDEX(products!$A$1:$G$49,MATCH(orders!$D359,products!$A$1:$A$49,0),MATCH(orders!L$1,products!$A$1:$G$1,0))</f>
        <v>25.874999999999996</v>
      </c>
      <c r="M359">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cm="1">
        <f t="array" ref="F360">_xlfn.XLOOKUP(C360,customers!$A$1:$A1359,customers!$B$1:$B1359,,0)</f>
        <v>Tomasina Cotmore</v>
      </c>
      <c r="G360" s="2" t="str">
        <f>IF(_xlfn.XLOOKUP(C360, customers!$A:$A, customers!$C:$C,,0)=0, "", _xlfn.XLOOKUP(C360, customers!$A:$A, customers!$C:$C,,0))</f>
        <v>tcotmore9y@amazonaws.com</v>
      </c>
      <c r="H360" s="2" t="str">
        <f>_xlfn.XLOOKUP(C360, customers!$A:$A, customers!$G:$G,,0)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f>INDEX(products!$A$1:$G$49,MATCH(orders!$D360,products!$A$1:$A$49,0),MATCH(orders!L$1,products!$A$1:$G$1,0))</f>
        <v>29.784999999999997</v>
      </c>
      <c r="M360">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cm="1">
        <f t="array" ref="F361">_xlfn.XLOOKUP(C361,customers!$A$1:$A1360,customers!$B$1:$B1360,,0)</f>
        <v>Yuma Skipsey</v>
      </c>
      <c r="G361" s="2" t="str">
        <f>IF(_xlfn.XLOOKUP(C361, customers!$A:$A, customers!$C:$C,,0)=0, "", _xlfn.XLOOKUP(C361, customers!$A:$A, customers!$C:$C,,0))</f>
        <v>yskipsey9z@spotify.com</v>
      </c>
      <c r="H361" s="2" t="str">
        <f>_xlfn.XLOOKUP(C361, customers!$A:$A, customers!$G:$G,,0)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f>INDEX(products!$A$1:$G$49,MATCH(orders!$D361,products!$A$1:$A$49,0),MATCH(orders!L$1,products!$A$1:$G$1,0))</f>
        <v>3.5849999999999995</v>
      </c>
      <c r="M361">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cm="1">
        <f t="array" ref="F362">_xlfn.XLOOKUP(C362,customers!$A$1:$A1361,customers!$B$1:$B1361,,0)</f>
        <v>Nicko Corps</v>
      </c>
      <c r="G362" s="2" t="str">
        <f>IF(_xlfn.XLOOKUP(C362, customers!$A:$A, customers!$C:$C,,0)=0, "", _xlfn.XLOOKUP(C362, customers!$A:$A, customers!$C:$C,,0))</f>
        <v>ncorpsa0@gmpg.org</v>
      </c>
      <c r="H362" s="2" t="str">
        <f>_xlfn.XLOOKUP(C362, customers!$A:$A, customers!$G:$G,,0)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f>INDEX(products!$A$1:$G$49,MATCH(orders!$D362,products!$A$1:$A$49,0),MATCH(orders!L$1,products!$A$1:$G$1,0))</f>
        <v>20.584999999999997</v>
      </c>
      <c r="M362">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cm="1">
        <f t="array" ref="F363">_xlfn.XLOOKUP(C363,customers!$A$1:$A1362,customers!$B$1:$B1362,,0)</f>
        <v>Nicko Corps</v>
      </c>
      <c r="G363" s="2" t="str">
        <f>IF(_xlfn.XLOOKUP(C363, customers!$A:$A, customers!$C:$C,,0)=0, "", _xlfn.XLOOKUP(C363, customers!$A:$A, customers!$C:$C,,0))</f>
        <v>ncorpsa0@gmpg.org</v>
      </c>
      <c r="H363" s="2" t="str">
        <f>_xlfn.XLOOKUP(C363, customers!$A:$A, customers!$G:$G,,0)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f>INDEX(products!$A$1:$G$49,MATCH(orders!$D363,products!$A$1:$A$49,0),MATCH(orders!L$1,products!$A$1:$G$1,0))</f>
        <v>5.97</v>
      </c>
      <c r="M363">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cm="1">
        <f t="array" ref="F364">_xlfn.XLOOKUP(C364,customers!$A$1:$A1363,customers!$B$1:$B1363,,0)</f>
        <v>Feliks Babber</v>
      </c>
      <c r="G364" s="2" t="str">
        <f>IF(_xlfn.XLOOKUP(C364, customers!$A:$A, customers!$C:$C,,0)=0, "", _xlfn.XLOOKUP(C364, customers!$A:$A, customers!$C:$C,,0))</f>
        <v>fbabbera2@stanford.edu</v>
      </c>
      <c r="H364" s="2" t="str">
        <f>_xlfn.XLOOKUP(C364, customers!$A:$A, customers!$G:$G,,0)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f>INDEX(products!$A$1:$G$49,MATCH(orders!$D364,products!$A$1:$A$49,0),MATCH(orders!L$1,products!$A$1:$G$1,0))</f>
        <v>14.85</v>
      </c>
      <c r="M364">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cm="1">
        <f t="array" ref="F365">_xlfn.XLOOKUP(C365,customers!$A$1:$A1364,customers!$B$1:$B1364,,0)</f>
        <v>Kaja Loxton</v>
      </c>
      <c r="G365" s="2" t="str">
        <f>IF(_xlfn.XLOOKUP(C365, customers!$A:$A, customers!$C:$C,,0)=0, "", _xlfn.XLOOKUP(C365, customers!$A:$A, customers!$C:$C,,0))</f>
        <v>kloxtona3@opensource.org</v>
      </c>
      <c r="H365" s="2" t="str">
        <f>_xlfn.XLOOKUP(C365, customers!$A:$A, customers!$G:$G,,0)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f>INDEX(products!$A$1:$G$49,MATCH(orders!$D365,products!$A$1:$A$49,0),MATCH(orders!L$1,products!$A$1:$G$1,0))</f>
        <v>14.55</v>
      </c>
      <c r="M36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cm="1">
        <f t="array" ref="F366">_xlfn.XLOOKUP(C366,customers!$A$1:$A1365,customers!$B$1:$B1365,,0)</f>
        <v>Parker Tofful</v>
      </c>
      <c r="G366" s="2" t="str">
        <f>IF(_xlfn.XLOOKUP(C366, customers!$A:$A, customers!$C:$C,,0)=0, "", _xlfn.XLOOKUP(C366, customers!$A:$A, customers!$C:$C,,0))</f>
        <v>ptoffula4@posterous.com</v>
      </c>
      <c r="H366" s="2" t="str">
        <f>_xlfn.XLOOKUP(C366, customers!$A:$A, customers!$G:$G,,0)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f>INDEX(products!$A$1:$G$49,MATCH(orders!$D366,products!$A$1:$A$49,0),MATCH(orders!L$1,products!$A$1:$G$1,0))</f>
        <v>12.15</v>
      </c>
      <c r="M366">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cm="1">
        <f t="array" ref="F367">_xlfn.XLOOKUP(C367,customers!$A$1:$A1366,customers!$B$1:$B1366,,0)</f>
        <v>Casi Gwinnett</v>
      </c>
      <c r="G367" s="2" t="str">
        <f>IF(_xlfn.XLOOKUP(C367, customers!$A:$A, customers!$C:$C,,0)=0, "", _xlfn.XLOOKUP(C367, customers!$A:$A, customers!$C:$C,,0))</f>
        <v>cgwinnetta5@behance.net</v>
      </c>
      <c r="H367" s="2" t="str">
        <f>_xlfn.XLOOKUP(C367, customers!$A:$A, customers!$G:$G,,0)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f>INDEX(products!$A$1:$G$49,MATCH(orders!$D367,products!$A$1:$A$49,0),MATCH(orders!L$1,products!$A$1:$G$1,0))</f>
        <v>7.77</v>
      </c>
      <c r="M367">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cm="1">
        <f t="array" ref="F368">_xlfn.XLOOKUP(C368,customers!$A$1:$A1367,customers!$B$1:$B1367,,0)</f>
        <v>Saree Ellesworth</v>
      </c>
      <c r="G368" s="2" t="str">
        <f>IF(_xlfn.XLOOKUP(C368, customers!$A:$A, customers!$C:$C,,0)=0, "", _xlfn.XLOOKUP(C368, customers!$A:$A, customers!$C:$C,,0))</f>
        <v/>
      </c>
      <c r="H368" s="2" t="str">
        <f>_xlfn.XLOOKUP(C368, customers!$A:$A, customers!$G:$G,,0)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f>INDEX(products!$A$1:$G$49,MATCH(orders!$D368,products!$A$1:$A$49,0),MATCH(orders!L$1,products!$A$1:$G$1,0))</f>
        <v>7.29</v>
      </c>
      <c r="M368">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cm="1">
        <f t="array" ref="F369">_xlfn.XLOOKUP(C369,customers!$A$1:$A1368,customers!$B$1:$B1368,,0)</f>
        <v>Silvio Iorizzi</v>
      </c>
      <c r="G369" s="2" t="str">
        <f>IF(_xlfn.XLOOKUP(C369, customers!$A:$A, customers!$C:$C,,0)=0, "", _xlfn.XLOOKUP(C369, customers!$A:$A, customers!$C:$C,,0))</f>
        <v/>
      </c>
      <c r="H369" s="2" t="str">
        <f>_xlfn.XLOOKUP(C369, customers!$A:$A, customers!$G:$G,,0)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f>INDEX(products!$A$1:$G$49,MATCH(orders!$D369,products!$A$1:$A$49,0),MATCH(orders!L$1,products!$A$1:$G$1,0))</f>
        <v>4.3650000000000002</v>
      </c>
      <c r="M369">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cm="1">
        <f t="array" ref="F370">_xlfn.XLOOKUP(C370,customers!$A$1:$A1369,customers!$B$1:$B1369,,0)</f>
        <v>Leesa Flaonier</v>
      </c>
      <c r="G370" s="2" t="str">
        <f>IF(_xlfn.XLOOKUP(C370, customers!$A:$A, customers!$C:$C,,0)=0, "", _xlfn.XLOOKUP(C370, customers!$A:$A, customers!$C:$C,,0))</f>
        <v>lflaoniera8@wordpress.org</v>
      </c>
      <c r="H370" s="2" t="str">
        <f>_xlfn.XLOOKUP(C370, customers!$A:$A, customers!$G:$G,,0)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f>INDEX(products!$A$1:$G$49,MATCH(orders!$D370,products!$A$1:$A$49,0),MATCH(orders!L$1,products!$A$1:$G$1,0))</f>
        <v>31.624999999999996</v>
      </c>
      <c r="M370">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cm="1">
        <f t="array" ref="F371">_xlfn.XLOOKUP(C371,customers!$A$1:$A1370,customers!$B$1:$B1370,,0)</f>
        <v>Abba Pummell</v>
      </c>
      <c r="G371" s="2" t="str">
        <f>IF(_xlfn.XLOOKUP(C371, customers!$A:$A, customers!$C:$C,,0)=0, "", _xlfn.XLOOKUP(C371, customers!$A:$A, customers!$C:$C,,0))</f>
        <v/>
      </c>
      <c r="H371" s="2" t="str">
        <f>_xlfn.XLOOKUP(C371, customers!$A:$A, customers!$G:$G,,0)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f>INDEX(products!$A$1:$G$49,MATCH(orders!$D371,products!$A$1:$A$49,0),MATCH(orders!L$1,products!$A$1:$G$1,0))</f>
        <v>8.91</v>
      </c>
      <c r="M371">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cm="1">
        <f t="array" ref="F372">_xlfn.XLOOKUP(C372,customers!$A$1:$A1371,customers!$B$1:$B1371,,0)</f>
        <v>Corinna Catcheside</v>
      </c>
      <c r="G372" s="2" t="str">
        <f>IF(_xlfn.XLOOKUP(C372, customers!$A:$A, customers!$C:$C,,0)=0, "", _xlfn.XLOOKUP(C372, customers!$A:$A, customers!$C:$C,,0))</f>
        <v>ccatchesideaa@macromedia.com</v>
      </c>
      <c r="H372" s="2" t="str">
        <f>_xlfn.XLOOKUP(C372, customers!$A:$A, customers!$G:$G,,0)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f>INDEX(products!$A$1:$G$49,MATCH(orders!$D372,products!$A$1:$A$49,0),MATCH(orders!L$1,products!$A$1:$G$1,0))</f>
        <v>12.15</v>
      </c>
      <c r="M372">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cm="1">
        <f t="array" ref="F373">_xlfn.XLOOKUP(C373,customers!$A$1:$A1372,customers!$B$1:$B1372,,0)</f>
        <v>Cortney Gibbonson</v>
      </c>
      <c r="G373" s="2" t="str">
        <f>IF(_xlfn.XLOOKUP(C373, customers!$A:$A, customers!$C:$C,,0)=0, "", _xlfn.XLOOKUP(C373, customers!$A:$A, customers!$C:$C,,0))</f>
        <v>cgibbonsonab@accuweather.com</v>
      </c>
      <c r="H373" s="2" t="str">
        <f>_xlfn.XLOOKUP(C373, customers!$A:$A, customers!$G:$G,,0)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f>INDEX(products!$A$1:$G$49,MATCH(orders!$D373,products!$A$1:$A$49,0),MATCH(orders!L$1,products!$A$1:$G$1,0))</f>
        <v>7.77</v>
      </c>
      <c r="M373">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cm="1">
        <f t="array" ref="F374">_xlfn.XLOOKUP(C374,customers!$A$1:$A1373,customers!$B$1:$B1373,,0)</f>
        <v>Terri Farra</v>
      </c>
      <c r="G374" s="2" t="str">
        <f>IF(_xlfn.XLOOKUP(C374, customers!$A:$A, customers!$C:$C,,0)=0, "", _xlfn.XLOOKUP(C374, customers!$A:$A, customers!$C:$C,,0))</f>
        <v>tfarraac@behance.net</v>
      </c>
      <c r="H374" s="2" t="str">
        <f>_xlfn.XLOOKUP(C374, customers!$A:$A, customers!$G:$G,,0)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f>INDEX(products!$A$1:$G$49,MATCH(orders!$D374,products!$A$1:$A$49,0),MATCH(orders!L$1,products!$A$1:$G$1,0))</f>
        <v>7.169999999999999</v>
      </c>
      <c r="M374">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cm="1">
        <f t="array" ref="F375">_xlfn.XLOOKUP(C375,customers!$A$1:$A1374,customers!$B$1:$B1374,,0)</f>
        <v>Corney Curme</v>
      </c>
      <c r="G375" s="2" t="str">
        <f>IF(_xlfn.XLOOKUP(C375, customers!$A:$A, customers!$C:$C,,0)=0, "", _xlfn.XLOOKUP(C375, customers!$A:$A, customers!$C:$C,,0))</f>
        <v/>
      </c>
      <c r="H375" s="2" t="str">
        <f>_xlfn.XLOOKUP(C375, customers!$A:$A, customers!$G:$G,,0)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f>INDEX(products!$A$1:$G$49,MATCH(orders!$D375,products!$A$1:$A$49,0),MATCH(orders!L$1,products!$A$1:$G$1,0))</f>
        <v>5.97</v>
      </c>
      <c r="M37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cm="1">
        <f t="array" ref="F376">_xlfn.XLOOKUP(C376,customers!$A$1:$A1375,customers!$B$1:$B1375,,0)</f>
        <v>Gothart Bamfield</v>
      </c>
      <c r="G376" s="2" t="str">
        <f>IF(_xlfn.XLOOKUP(C376, customers!$A:$A, customers!$C:$C,,0)=0, "", _xlfn.XLOOKUP(C376, customers!$A:$A, customers!$C:$C,,0))</f>
        <v>gbamfieldae@yellowpages.com</v>
      </c>
      <c r="H376" s="2" t="str">
        <f>_xlfn.XLOOKUP(C376, customers!$A:$A, customers!$G:$G,,0)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f>INDEX(products!$A$1:$G$49,MATCH(orders!$D376,products!$A$1:$A$49,0),MATCH(orders!L$1,products!$A$1:$G$1,0))</f>
        <v>9.51</v>
      </c>
      <c r="M376">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cm="1">
        <f t="array" ref="F377">_xlfn.XLOOKUP(C377,customers!$A$1:$A1376,customers!$B$1:$B1376,,0)</f>
        <v>Waylin Hollingdale</v>
      </c>
      <c r="G377" s="2" t="str">
        <f>IF(_xlfn.XLOOKUP(C377, customers!$A:$A, customers!$C:$C,,0)=0, "", _xlfn.XLOOKUP(C377, customers!$A:$A, customers!$C:$C,,0))</f>
        <v>whollingdaleaf@about.me</v>
      </c>
      <c r="H377" s="2" t="str">
        <f>_xlfn.XLOOKUP(C377, customers!$A:$A, customers!$G:$G,,0)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f>INDEX(products!$A$1:$G$49,MATCH(orders!$D377,products!$A$1:$A$49,0),MATCH(orders!L$1,products!$A$1:$G$1,0))</f>
        <v>3.375</v>
      </c>
      <c r="M377">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cm="1">
        <f t="array" ref="F378">_xlfn.XLOOKUP(C378,customers!$A$1:$A1377,customers!$B$1:$B1377,,0)</f>
        <v>Judd De Leek</v>
      </c>
      <c r="G378" s="2" t="str">
        <f>IF(_xlfn.XLOOKUP(C378, customers!$A:$A, customers!$C:$C,,0)=0, "", _xlfn.XLOOKUP(C378, customers!$A:$A, customers!$C:$C,,0))</f>
        <v>jdeag@xrea.com</v>
      </c>
      <c r="H378" s="2" t="str">
        <f>_xlfn.XLOOKUP(C378, customers!$A:$A, customers!$G:$G,,0)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f>INDEX(products!$A$1:$G$49,MATCH(orders!$D378,products!$A$1:$A$49,0),MATCH(orders!L$1,products!$A$1:$G$1,0))</f>
        <v>5.97</v>
      </c>
      <c r="M378">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cm="1">
        <f t="array" ref="F379">_xlfn.XLOOKUP(C379,customers!$A$1:$A1378,customers!$B$1:$B1378,,0)</f>
        <v>Vanya Skullet</v>
      </c>
      <c r="G379" s="2" t="str">
        <f>IF(_xlfn.XLOOKUP(C379, customers!$A:$A, customers!$C:$C,,0)=0, "", _xlfn.XLOOKUP(C379, customers!$A:$A, customers!$C:$C,,0))</f>
        <v>vskulletah@tinyurl.com</v>
      </c>
      <c r="H379" s="2" t="str">
        <f>_xlfn.XLOOKUP(C379, customers!$A:$A, customers!$G:$G,,0)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f>INDEX(products!$A$1:$G$49,MATCH(orders!$D379,products!$A$1:$A$49,0),MATCH(orders!L$1,products!$A$1:$G$1,0))</f>
        <v>2.6849999999999996</v>
      </c>
      <c r="M379">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cm="1">
        <f t="array" ref="F380">_xlfn.XLOOKUP(C380,customers!$A$1:$A1379,customers!$B$1:$B1379,,0)</f>
        <v>Jany Rudeforth</v>
      </c>
      <c r="G380" s="2" t="str">
        <f>IF(_xlfn.XLOOKUP(C380, customers!$A:$A, customers!$C:$C,,0)=0, "", _xlfn.XLOOKUP(C380, customers!$A:$A, customers!$C:$C,,0))</f>
        <v>jrudeforthai@wunderground.com</v>
      </c>
      <c r="H380" s="2" t="str">
        <f>_xlfn.XLOOKUP(C380, customers!$A:$A, customers!$G:$G,,0)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f>INDEX(products!$A$1:$G$49,MATCH(orders!$D380,products!$A$1:$A$49,0),MATCH(orders!L$1,products!$A$1:$G$1,0))</f>
        <v>7.77</v>
      </c>
      <c r="M380">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cm="1">
        <f t="array" ref="F381">_xlfn.XLOOKUP(C381,customers!$A$1:$A1380,customers!$B$1:$B1380,,0)</f>
        <v>Ashbey Tomaszewski</v>
      </c>
      <c r="G381" s="2" t="str">
        <f>IF(_xlfn.XLOOKUP(C381, customers!$A:$A, customers!$C:$C,,0)=0, "", _xlfn.XLOOKUP(C381, customers!$A:$A, customers!$C:$C,,0))</f>
        <v>atomaszewskiaj@answers.com</v>
      </c>
      <c r="H381" s="2" t="str">
        <f>_xlfn.XLOOKUP(C381, customers!$A:$A, customers!$G:$G,,0)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f>INDEX(products!$A$1:$G$49,MATCH(orders!$D381,products!$A$1:$A$49,0),MATCH(orders!L$1,products!$A$1:$G$1,0))</f>
        <v>7.169999999999999</v>
      </c>
      <c r="M381">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cm="1">
        <f t="array" ref="F382">_xlfn.XLOOKUP(C382,customers!$A$1:$A1381,customers!$B$1:$B1381,,0)</f>
        <v>Flynn Antony</v>
      </c>
      <c r="G382" s="2" t="str">
        <f>IF(_xlfn.XLOOKUP(C382, customers!$A:$A, customers!$C:$C,,0)=0, "", _xlfn.XLOOKUP(C382, customers!$A:$A, customers!$C:$C,,0))</f>
        <v/>
      </c>
      <c r="H382" s="2" t="str">
        <f>_xlfn.XLOOKUP(C382, customers!$A:$A, customers!$G:$G,,0)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f>INDEX(products!$A$1:$G$49,MATCH(orders!$D382,products!$A$1:$A$49,0),MATCH(orders!L$1,products!$A$1:$G$1,0))</f>
        <v>7.77</v>
      </c>
      <c r="M382">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cm="1">
        <f t="array" ref="F383">_xlfn.XLOOKUP(C383,customers!$A$1:$A1382,customers!$B$1:$B1382,,0)</f>
        <v>Pren Bess</v>
      </c>
      <c r="G383" s="2" t="str">
        <f>IF(_xlfn.XLOOKUP(C383, customers!$A:$A, customers!$C:$C,,0)=0, "", _xlfn.XLOOKUP(C383, customers!$A:$A, customers!$C:$C,,0))</f>
        <v>pbessal@qq.com</v>
      </c>
      <c r="H383" s="2" t="str">
        <f>_xlfn.XLOOKUP(C383, customers!$A:$A, customers!$G:$G,,0)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f>INDEX(products!$A$1:$G$49,MATCH(orders!$D383,products!$A$1:$A$49,0),MATCH(orders!L$1,products!$A$1:$G$1,0))</f>
        <v>2.9849999999999999</v>
      </c>
      <c r="M383">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cm="1">
        <f t="array" ref="F384">_xlfn.XLOOKUP(C384,customers!$A$1:$A1383,customers!$B$1:$B1383,,0)</f>
        <v>Elka Windress</v>
      </c>
      <c r="G384" s="2" t="str">
        <f>IF(_xlfn.XLOOKUP(C384, customers!$A:$A, customers!$C:$C,,0)=0, "", _xlfn.XLOOKUP(C384, customers!$A:$A, customers!$C:$C,,0))</f>
        <v>ewindressam@marketwatch.com</v>
      </c>
      <c r="H384" s="2" t="str">
        <f>_xlfn.XLOOKUP(C384, customers!$A:$A, customers!$G:$G,,0)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f>INDEX(products!$A$1:$G$49,MATCH(orders!$D384,products!$A$1:$A$49,0),MATCH(orders!L$1,products!$A$1:$G$1,0))</f>
        <v>7.29</v>
      </c>
      <c r="M384">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cm="1">
        <f t="array" ref="F385">_xlfn.XLOOKUP(C385,customers!$A$1:$A1384,customers!$B$1:$B1384,,0)</f>
        <v>Marty Kidstoun</v>
      </c>
      <c r="G385" s="2" t="str">
        <f>IF(_xlfn.XLOOKUP(C385, customers!$A:$A, customers!$C:$C,,0)=0, "", _xlfn.XLOOKUP(C385, customers!$A:$A, customers!$C:$C,,0))</f>
        <v/>
      </c>
      <c r="H385" s="2" t="str">
        <f>_xlfn.XLOOKUP(C385, customers!$A:$A, customers!$G:$G,,0)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f>INDEX(products!$A$1:$G$49,MATCH(orders!$D385,products!$A$1:$A$49,0),MATCH(orders!L$1,products!$A$1:$G$1,0))</f>
        <v>8.91</v>
      </c>
      <c r="M38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cm="1">
        <f t="array" ref="F386">_xlfn.XLOOKUP(C386,customers!$A$1:$A1385,customers!$B$1:$B1385,,0)</f>
        <v>Nickey Dimbleby</v>
      </c>
      <c r="G386" s="2" t="str">
        <f>IF(_xlfn.XLOOKUP(C386, customers!$A:$A, customers!$C:$C,,0)=0, "", _xlfn.XLOOKUP(C386, customers!$A:$A, customers!$C:$C,,0))</f>
        <v/>
      </c>
      <c r="H386" s="2" t="str">
        <f>_xlfn.XLOOKUP(C386, customers!$A:$A, customers!$G:$G,,0)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f>INDEX(products!$A$1:$G$49,MATCH(orders!$D386,products!$A$1:$A$49,0),MATCH(orders!L$1,products!$A$1:$G$1,0))</f>
        <v>29.784999999999997</v>
      </c>
      <c r="M386">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cm="1">
        <f t="array" ref="F387">_xlfn.XLOOKUP(C387,customers!$A$1:$A1386,customers!$B$1:$B1386,,0)</f>
        <v>Virgil Baumadier</v>
      </c>
      <c r="G387" s="2" t="str">
        <f>IF(_xlfn.XLOOKUP(C387, customers!$A:$A, customers!$C:$C,,0)=0, "", _xlfn.XLOOKUP(C387, customers!$A:$A, customers!$C:$C,,0))</f>
        <v>vbaumadierap@google.cn</v>
      </c>
      <c r="H387" s="2" t="str">
        <f>_xlfn.XLOOKUP(C387, customers!$A:$A, customers!$G:$G,,0)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f>INDEX(products!$A$1:$G$49,MATCH(orders!$D387,products!$A$1:$A$49,0),MATCH(orders!L$1,products!$A$1:$G$1,0))</f>
        <v>8.73</v>
      </c>
      <c r="M387">
        <f t="shared" ref="M387:M450" si="18">L387*E387</f>
        <v>43.650000000000006</v>
      </c>
      <c r="N387" t="str">
        <f t="shared" ref="N387:N450" si="19">IF(I387="Rob", "Robusta", IF(I387="Exc","Excelsa",IF(I387="Ara","Arabica", 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cm="1">
        <f t="array" ref="F388">_xlfn.XLOOKUP(C388,customers!$A$1:$A1387,customers!$B$1:$B1387,,0)</f>
        <v>Lenore Messenbird</v>
      </c>
      <c r="G388" s="2" t="str">
        <f>IF(_xlfn.XLOOKUP(C388, customers!$A:$A, customers!$C:$C,,0)=0, "", _xlfn.XLOOKUP(C388, customers!$A:$A, customers!$C:$C,,0))</f>
        <v/>
      </c>
      <c r="H388" s="2" t="str">
        <f>_xlfn.XLOOKUP(C388, customers!$A:$A, customers!$G:$G,,0)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f>INDEX(products!$A$1:$G$49,MATCH(orders!$D388,products!$A$1:$A$49,0),MATCH(orders!L$1,products!$A$1:$G$1,0))</f>
        <v>2.9849999999999999</v>
      </c>
      <c r="M388">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cm="1">
        <f t="array" ref="F389">_xlfn.XLOOKUP(C389,customers!$A$1:$A1388,customers!$B$1:$B1388,,0)</f>
        <v>Shirleen Welds</v>
      </c>
      <c r="G389" s="2" t="str">
        <f>IF(_xlfn.XLOOKUP(C389, customers!$A:$A, customers!$C:$C,,0)=0, "", _xlfn.XLOOKUP(C389, customers!$A:$A, customers!$C:$C,,0))</f>
        <v>sweldsar@wired.com</v>
      </c>
      <c r="H389" s="2" t="str">
        <f>_xlfn.XLOOKUP(C389, customers!$A:$A, customers!$G:$G,,0)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f>INDEX(products!$A$1:$G$49,MATCH(orders!$D389,products!$A$1:$A$49,0),MATCH(orders!L$1,products!$A$1:$G$1,0))</f>
        <v>14.85</v>
      </c>
      <c r="M389">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cm="1">
        <f t="array" ref="F390">_xlfn.XLOOKUP(C390,customers!$A$1:$A1389,customers!$B$1:$B1389,,0)</f>
        <v>Maisie Sarvar</v>
      </c>
      <c r="G390" s="2" t="str">
        <f>IF(_xlfn.XLOOKUP(C390, customers!$A:$A, customers!$C:$C,,0)=0, "", _xlfn.XLOOKUP(C390, customers!$A:$A, customers!$C:$C,,0))</f>
        <v>msarvaras@artisteer.com</v>
      </c>
      <c r="H390" s="2" t="str">
        <f>_xlfn.XLOOKUP(C390, customers!$A:$A, customers!$G:$G,,0)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f>INDEX(products!$A$1:$G$49,MATCH(orders!$D390,products!$A$1:$A$49,0),MATCH(orders!L$1,products!$A$1:$G$1,0))</f>
        <v>3.8849999999999998</v>
      </c>
      <c r="M390">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cm="1">
        <f t="array" ref="F391">_xlfn.XLOOKUP(C391,customers!$A$1:$A1390,customers!$B$1:$B1390,,0)</f>
        <v>Andrej Havick</v>
      </c>
      <c r="G391" s="2" t="str">
        <f>IF(_xlfn.XLOOKUP(C391, customers!$A:$A, customers!$C:$C,,0)=0, "", _xlfn.XLOOKUP(C391, customers!$A:$A, customers!$C:$C,,0))</f>
        <v>ahavickat@nsw.gov.au</v>
      </c>
      <c r="H391" s="2" t="str">
        <f>_xlfn.XLOOKUP(C391, customers!$A:$A, customers!$G:$G,,0)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f>INDEX(products!$A$1:$G$49,MATCH(orders!$D391,products!$A$1:$A$49,0),MATCH(orders!L$1,products!$A$1:$G$1,0))</f>
        <v>7.77</v>
      </c>
      <c r="M391">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cm="1">
        <f t="array" ref="F392">_xlfn.XLOOKUP(C392,customers!$A$1:$A1391,customers!$B$1:$B1391,,0)</f>
        <v>Sloan Diviny</v>
      </c>
      <c r="G392" s="2" t="str">
        <f>IF(_xlfn.XLOOKUP(C392, customers!$A:$A, customers!$C:$C,,0)=0, "", _xlfn.XLOOKUP(C392, customers!$A:$A, customers!$C:$C,,0))</f>
        <v>sdivinyau@ask.com</v>
      </c>
      <c r="H392" s="2" t="str">
        <f>_xlfn.XLOOKUP(C392, customers!$A:$A, customers!$G:$G,,0)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f>INDEX(products!$A$1:$G$49,MATCH(orders!$D392,products!$A$1:$A$49,0),MATCH(orders!L$1,products!$A$1:$G$1,0))</f>
        <v>7.29</v>
      </c>
      <c r="M392">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cm="1">
        <f t="array" ref="F393">_xlfn.XLOOKUP(C393,customers!$A$1:$A1392,customers!$B$1:$B1392,,0)</f>
        <v>Itch Norquoy</v>
      </c>
      <c r="G393" s="2" t="str">
        <f>IF(_xlfn.XLOOKUP(C393, customers!$A:$A, customers!$C:$C,,0)=0, "", _xlfn.XLOOKUP(C393, customers!$A:$A, customers!$C:$C,,0))</f>
        <v>inorquoyav@businessweek.com</v>
      </c>
      <c r="H393" s="2" t="str">
        <f>_xlfn.XLOOKUP(C393, customers!$A:$A, customers!$G:$G,,0)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f>INDEX(products!$A$1:$G$49,MATCH(orders!$D393,products!$A$1:$A$49,0),MATCH(orders!L$1,products!$A$1:$G$1,0))</f>
        <v>6.75</v>
      </c>
      <c r="M393">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cm="1">
        <f t="array" ref="F394">_xlfn.XLOOKUP(C394,customers!$A$1:$A1393,customers!$B$1:$B1393,,0)</f>
        <v>Anson Iddison</v>
      </c>
      <c r="G394" s="2" t="str">
        <f>IF(_xlfn.XLOOKUP(C394, customers!$A:$A, customers!$C:$C,,0)=0, "", _xlfn.XLOOKUP(C394, customers!$A:$A, customers!$C:$C,,0))</f>
        <v>aiddisonaw@usa.gov</v>
      </c>
      <c r="H394" s="2" t="str">
        <f>_xlfn.XLOOKUP(C394, customers!$A:$A, customers!$G:$G,,0)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f>INDEX(products!$A$1:$G$49,MATCH(orders!$D394,products!$A$1:$A$49,0),MATCH(orders!L$1,products!$A$1:$G$1,0))</f>
        <v>14.85</v>
      </c>
      <c r="M394">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cm="1">
        <f t="array" ref="F395">_xlfn.XLOOKUP(C395,customers!$A$1:$A1394,customers!$B$1:$B1394,,0)</f>
        <v>Anson Iddison</v>
      </c>
      <c r="G395" s="2" t="str">
        <f>IF(_xlfn.XLOOKUP(C395, customers!$A:$A, customers!$C:$C,,0)=0, "", _xlfn.XLOOKUP(C395, customers!$A:$A, customers!$C:$C,,0))</f>
        <v>aiddisonaw@usa.gov</v>
      </c>
      <c r="H395" s="2" t="str">
        <f>_xlfn.XLOOKUP(C395, customers!$A:$A, customers!$G:$G,,0)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f>INDEX(products!$A$1:$G$49,MATCH(orders!$D395,products!$A$1:$A$49,0),MATCH(orders!L$1,products!$A$1:$G$1,0))</f>
        <v>3.8849999999999998</v>
      </c>
      <c r="M39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cm="1">
        <f t="array" ref="F396">_xlfn.XLOOKUP(C396,customers!$A$1:$A1395,customers!$B$1:$B1395,,0)</f>
        <v>Randal Longfield</v>
      </c>
      <c r="G396" s="2" t="str">
        <f>IF(_xlfn.XLOOKUP(C396, customers!$A:$A, customers!$C:$C,,0)=0, "", _xlfn.XLOOKUP(C396, customers!$A:$A, customers!$C:$C,,0))</f>
        <v>rlongfielday@bluehost.com</v>
      </c>
      <c r="H396" s="2" t="str">
        <f>_xlfn.XLOOKUP(C396, customers!$A:$A, customers!$G:$G,,0)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f>INDEX(products!$A$1:$G$49,MATCH(orders!$D396,products!$A$1:$A$49,0),MATCH(orders!L$1,products!$A$1:$G$1,0))</f>
        <v>27.484999999999996</v>
      </c>
      <c r="M396">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cm="1">
        <f t="array" ref="F397">_xlfn.XLOOKUP(C397,customers!$A$1:$A1396,customers!$B$1:$B1396,,0)</f>
        <v>Gregorius Kislingbury</v>
      </c>
      <c r="G397" s="2" t="str">
        <f>IF(_xlfn.XLOOKUP(C397, customers!$A:$A, customers!$C:$C,,0)=0, "", _xlfn.XLOOKUP(C397, customers!$A:$A, customers!$C:$C,,0))</f>
        <v>gkislingburyaz@samsung.com</v>
      </c>
      <c r="H397" s="2" t="str">
        <f>_xlfn.XLOOKUP(C397, customers!$A:$A, customers!$G:$G,,0)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f>INDEX(products!$A$1:$G$49,MATCH(orders!$D397,products!$A$1:$A$49,0),MATCH(orders!L$1,products!$A$1:$G$1,0))</f>
        <v>7.77</v>
      </c>
      <c r="M397">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cm="1">
        <f t="array" ref="F398">_xlfn.XLOOKUP(C398,customers!$A$1:$A1397,customers!$B$1:$B1397,,0)</f>
        <v>Xenos Gibbons</v>
      </c>
      <c r="G398" s="2" t="str">
        <f>IF(_xlfn.XLOOKUP(C398, customers!$A:$A, customers!$C:$C,,0)=0, "", _xlfn.XLOOKUP(C398, customers!$A:$A, customers!$C:$C,,0))</f>
        <v>xgibbonsb0@artisteer.com</v>
      </c>
      <c r="H398" s="2" t="str">
        <f>_xlfn.XLOOKUP(C398, customers!$A:$A, customers!$G:$G,,0)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f>INDEX(products!$A$1:$G$49,MATCH(orders!$D398,products!$A$1:$A$49,0),MATCH(orders!L$1,products!$A$1:$G$1,0))</f>
        <v>7.77</v>
      </c>
      <c r="M398">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cm="1">
        <f t="array" ref="F399">_xlfn.XLOOKUP(C399,customers!$A$1:$A1398,customers!$B$1:$B1398,,0)</f>
        <v>Fleur Parres</v>
      </c>
      <c r="G399" s="2" t="str">
        <f>IF(_xlfn.XLOOKUP(C399, customers!$A:$A, customers!$C:$C,,0)=0, "", _xlfn.XLOOKUP(C399, customers!$A:$A, customers!$C:$C,,0))</f>
        <v>fparresb1@imageshack.us</v>
      </c>
      <c r="H399" s="2" t="str">
        <f>_xlfn.XLOOKUP(C399, customers!$A:$A, customers!$G:$G,,0)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f>INDEX(products!$A$1:$G$49,MATCH(orders!$D399,products!$A$1:$A$49,0),MATCH(orders!L$1,products!$A$1:$G$1,0))</f>
        <v>7.77</v>
      </c>
      <c r="M399">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cm="1">
        <f t="array" ref="F400">_xlfn.XLOOKUP(C400,customers!$A$1:$A1399,customers!$B$1:$B1399,,0)</f>
        <v>Gran Sibray</v>
      </c>
      <c r="G400" s="2" t="str">
        <f>IF(_xlfn.XLOOKUP(C400, customers!$A:$A, customers!$C:$C,,0)=0, "", _xlfn.XLOOKUP(C400, customers!$A:$A, customers!$C:$C,,0))</f>
        <v>gsibrayb2@wsj.com</v>
      </c>
      <c r="H400" s="2" t="str">
        <f>_xlfn.XLOOKUP(C400, customers!$A:$A, customers!$G:$G,,0)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f>INDEX(products!$A$1:$G$49,MATCH(orders!$D400,products!$A$1:$A$49,0),MATCH(orders!L$1,products!$A$1:$G$1,0))</f>
        <v>2.9849999999999999</v>
      </c>
      <c r="M400">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cm="1">
        <f t="array" ref="F401">_xlfn.XLOOKUP(C401,customers!$A$1:$A1400,customers!$B$1:$B1400,,0)</f>
        <v>Ingelbert Hotchkin</v>
      </c>
      <c r="G401" s="2" t="str">
        <f>IF(_xlfn.XLOOKUP(C401, customers!$A:$A, customers!$C:$C,,0)=0, "", _xlfn.XLOOKUP(C401, customers!$A:$A, customers!$C:$C,,0))</f>
        <v>ihotchkinb3@mit.edu</v>
      </c>
      <c r="H401" s="2" t="str">
        <f>_xlfn.XLOOKUP(C401, customers!$A:$A, customers!$G:$G,,0)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f>INDEX(products!$A$1:$G$49,MATCH(orders!$D401,products!$A$1:$A$49,0),MATCH(orders!L$1,products!$A$1:$G$1,0))</f>
        <v>27.945</v>
      </c>
      <c r="M401">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cm="1">
        <f t="array" ref="F402">_xlfn.XLOOKUP(C402,customers!$A$1:$A1401,customers!$B$1:$B1401,,0)</f>
        <v>Neely Broadberrie</v>
      </c>
      <c r="G402" s="2" t="str">
        <f>IF(_xlfn.XLOOKUP(C402, customers!$A:$A, customers!$C:$C,,0)=0, "", _xlfn.XLOOKUP(C402, customers!$A:$A, customers!$C:$C,,0))</f>
        <v>nbroadberrieb4@gnu.org</v>
      </c>
      <c r="H402" s="2" t="str">
        <f>_xlfn.XLOOKUP(C402, customers!$A:$A, customers!$G:$G,,0)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f>INDEX(products!$A$1:$G$49,MATCH(orders!$D402,products!$A$1:$A$49,0),MATCH(orders!L$1,products!$A$1:$G$1,0))</f>
        <v>15.85</v>
      </c>
      <c r="M402">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cm="1">
        <f t="array" ref="F403">_xlfn.XLOOKUP(C403,customers!$A$1:$A1402,customers!$B$1:$B1402,,0)</f>
        <v>Rutger Pithcock</v>
      </c>
      <c r="G403" s="2" t="str">
        <f>IF(_xlfn.XLOOKUP(C403, customers!$A:$A, customers!$C:$C,,0)=0, "", _xlfn.XLOOKUP(C403, customers!$A:$A, customers!$C:$C,,0))</f>
        <v>rpithcockb5@yellowbook.com</v>
      </c>
      <c r="H403" s="2" t="str">
        <f>_xlfn.XLOOKUP(C403, customers!$A:$A, customers!$G:$G,,0)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f>INDEX(products!$A$1:$G$49,MATCH(orders!$D403,products!$A$1:$A$49,0),MATCH(orders!L$1,products!$A$1:$G$1,0))</f>
        <v>4.3650000000000002</v>
      </c>
      <c r="M403">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cm="1">
        <f t="array" ref="F404">_xlfn.XLOOKUP(C404,customers!$A$1:$A1403,customers!$B$1:$B1403,,0)</f>
        <v>Gale Croysdale</v>
      </c>
      <c r="G404" s="2" t="str">
        <f>IF(_xlfn.XLOOKUP(C404, customers!$A:$A, customers!$C:$C,,0)=0, "", _xlfn.XLOOKUP(C404, customers!$A:$A, customers!$C:$C,,0))</f>
        <v>gcroysdaleb6@nih.gov</v>
      </c>
      <c r="H404" s="2" t="str">
        <f>_xlfn.XLOOKUP(C404, customers!$A:$A, customers!$G:$G,,0)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f>INDEX(products!$A$1:$G$49,MATCH(orders!$D404,products!$A$1:$A$49,0),MATCH(orders!L$1,products!$A$1:$G$1,0))</f>
        <v>8.9499999999999993</v>
      </c>
      <c r="M404">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cm="1">
        <f t="array" ref="F405">_xlfn.XLOOKUP(C405,customers!$A$1:$A1404,customers!$B$1:$B1404,,0)</f>
        <v>Benedetto Gozzett</v>
      </c>
      <c r="G405" s="2" t="str">
        <f>IF(_xlfn.XLOOKUP(C405, customers!$A:$A, customers!$C:$C,,0)=0, "", _xlfn.XLOOKUP(C405, customers!$A:$A, customers!$C:$C,,0))</f>
        <v>bgozzettb7@github.com</v>
      </c>
      <c r="H405" s="2" t="str">
        <f>_xlfn.XLOOKUP(C405, customers!$A:$A, customers!$G:$G,,0)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f>INDEX(products!$A$1:$G$49,MATCH(orders!$D405,products!$A$1:$A$49,0),MATCH(orders!L$1,products!$A$1:$G$1,0))</f>
        <v>4.7549999999999999</v>
      </c>
      <c r="M40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cm="1">
        <f t="array" ref="F406">_xlfn.XLOOKUP(C406,customers!$A$1:$A1405,customers!$B$1:$B1405,,0)</f>
        <v>Tania Craggs</v>
      </c>
      <c r="G406" s="2" t="str">
        <f>IF(_xlfn.XLOOKUP(C406, customers!$A:$A, customers!$C:$C,,0)=0, "", _xlfn.XLOOKUP(C406, customers!$A:$A, customers!$C:$C,,0))</f>
        <v>tcraggsb8@house.gov</v>
      </c>
      <c r="H406" s="2" t="str">
        <f>_xlfn.XLOOKUP(C406, customers!$A:$A, customers!$G:$G,,0)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f>INDEX(products!$A$1:$G$49,MATCH(orders!$D406,products!$A$1:$A$49,0),MATCH(orders!L$1,products!$A$1:$G$1,0))</f>
        <v>9.9499999999999993</v>
      </c>
      <c r="M406">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cm="1">
        <f t="array" ref="F407">_xlfn.XLOOKUP(C407,customers!$A$1:$A1406,customers!$B$1:$B1406,,0)</f>
        <v>Leonie Cullrford</v>
      </c>
      <c r="G407" s="2" t="str">
        <f>IF(_xlfn.XLOOKUP(C407, customers!$A:$A, customers!$C:$C,,0)=0, "", _xlfn.XLOOKUP(C407, customers!$A:$A, customers!$C:$C,,0))</f>
        <v>lcullrfordb9@xing.com</v>
      </c>
      <c r="H407" s="2" t="str">
        <f>_xlfn.XLOOKUP(C407, customers!$A:$A, customers!$G:$G,,0)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f>INDEX(products!$A$1:$G$49,MATCH(orders!$D407,products!$A$1:$A$49,0),MATCH(orders!L$1,products!$A$1:$G$1,0))</f>
        <v>8.25</v>
      </c>
      <c r="M407">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cm="1">
        <f t="array" ref="F408">_xlfn.XLOOKUP(C408,customers!$A$1:$A1407,customers!$B$1:$B1407,,0)</f>
        <v>Auguste Rizon</v>
      </c>
      <c r="G408" s="2" t="str">
        <f>IF(_xlfn.XLOOKUP(C408, customers!$A:$A, customers!$C:$C,,0)=0, "", _xlfn.XLOOKUP(C408, customers!$A:$A, customers!$C:$C,,0))</f>
        <v>arizonba@xing.com</v>
      </c>
      <c r="H408" s="2" t="str">
        <f>_xlfn.XLOOKUP(C408, customers!$A:$A, customers!$G:$G,,0)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f>INDEX(products!$A$1:$G$49,MATCH(orders!$D408,products!$A$1:$A$49,0),MATCH(orders!L$1,products!$A$1:$G$1,0))</f>
        <v>13.75</v>
      </c>
      <c r="M408">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cm="1">
        <f t="array" ref="F409">_xlfn.XLOOKUP(C409,customers!$A$1:$A1408,customers!$B$1:$B1408,,0)</f>
        <v>Lorin Guerrazzi</v>
      </c>
      <c r="G409" s="2" t="str">
        <f>IF(_xlfn.XLOOKUP(C409, customers!$A:$A, customers!$C:$C,,0)=0, "", _xlfn.XLOOKUP(C409, customers!$A:$A, customers!$C:$C,,0))</f>
        <v/>
      </c>
      <c r="H409" s="2" t="str">
        <f>_xlfn.XLOOKUP(C409, customers!$A:$A, customers!$G:$G,,0)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f>INDEX(products!$A$1:$G$49,MATCH(orders!$D409,products!$A$1:$A$49,0),MATCH(orders!L$1,products!$A$1:$G$1,0))</f>
        <v>8.25</v>
      </c>
      <c r="M409">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cm="1">
        <f t="array" ref="F410">_xlfn.XLOOKUP(C410,customers!$A$1:$A1409,customers!$B$1:$B1409,,0)</f>
        <v>Felice Miell</v>
      </c>
      <c r="G410" s="2" t="str">
        <f>IF(_xlfn.XLOOKUP(C410, customers!$A:$A, customers!$C:$C,,0)=0, "", _xlfn.XLOOKUP(C410, customers!$A:$A, customers!$C:$C,,0))</f>
        <v>fmiellbc@spiegel.de</v>
      </c>
      <c r="H410" s="2" t="str">
        <f>_xlfn.XLOOKUP(C410, customers!$A:$A, customers!$G:$G,,0)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f>INDEX(products!$A$1:$G$49,MATCH(orders!$D410,products!$A$1:$A$49,0),MATCH(orders!L$1,products!$A$1:$G$1,0))</f>
        <v>25.874999999999996</v>
      </c>
      <c r="M410">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cm="1">
        <f t="array" ref="F411">_xlfn.XLOOKUP(C411,customers!$A$1:$A1410,customers!$B$1:$B1410,,0)</f>
        <v>Hamish Skeech</v>
      </c>
      <c r="G411" s="2" t="str">
        <f>IF(_xlfn.XLOOKUP(C411, customers!$A:$A, customers!$C:$C,,0)=0, "", _xlfn.XLOOKUP(C411, customers!$A:$A, customers!$C:$C,,0))</f>
        <v/>
      </c>
      <c r="H411" s="2" t="str">
        <f>_xlfn.XLOOKUP(C411, customers!$A:$A, customers!$G:$G,,0)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f>INDEX(products!$A$1:$G$49,MATCH(orders!$D411,products!$A$1:$A$49,0),MATCH(orders!L$1,products!$A$1:$G$1,0))</f>
        <v>15.85</v>
      </c>
      <c r="M411">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cm="1">
        <f t="array" ref="F412">_xlfn.XLOOKUP(C412,customers!$A$1:$A1411,customers!$B$1:$B1411,,0)</f>
        <v>Giordano Lorenzin</v>
      </c>
      <c r="G412" s="2" t="str">
        <f>IF(_xlfn.XLOOKUP(C412, customers!$A:$A, customers!$C:$C,,0)=0, "", _xlfn.XLOOKUP(C412, customers!$A:$A, customers!$C:$C,,0))</f>
        <v/>
      </c>
      <c r="H412" s="2" t="str">
        <f>_xlfn.XLOOKUP(C412, customers!$A:$A, customers!$G:$G,,0)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f>INDEX(products!$A$1:$G$49,MATCH(orders!$D412,products!$A$1:$A$49,0),MATCH(orders!L$1,products!$A$1:$G$1,0))</f>
        <v>3.8849999999999998</v>
      </c>
      <c r="M412">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cm="1">
        <f t="array" ref="F413">_xlfn.XLOOKUP(C413,customers!$A$1:$A1412,customers!$B$1:$B1412,,0)</f>
        <v>Harwilll Bishell</v>
      </c>
      <c r="G413" s="2" t="str">
        <f>IF(_xlfn.XLOOKUP(C413, customers!$A:$A, customers!$C:$C,,0)=0, "", _xlfn.XLOOKUP(C413, customers!$A:$A, customers!$C:$C,,0))</f>
        <v/>
      </c>
      <c r="H413" s="2" t="str">
        <f>_xlfn.XLOOKUP(C413, customers!$A:$A, customers!$G:$G,,0)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f>INDEX(products!$A$1:$G$49,MATCH(orders!$D413,products!$A$1:$A$49,0),MATCH(orders!L$1,products!$A$1:$G$1,0))</f>
        <v>14.55</v>
      </c>
      <c r="M413">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cm="1">
        <f t="array" ref="F414">_xlfn.XLOOKUP(C414,customers!$A$1:$A1413,customers!$B$1:$B1413,,0)</f>
        <v>Freeland Missenden</v>
      </c>
      <c r="G414" s="2" t="str">
        <f>IF(_xlfn.XLOOKUP(C414, customers!$A:$A, customers!$C:$C,,0)=0, "", _xlfn.XLOOKUP(C414, customers!$A:$A, customers!$C:$C,,0))</f>
        <v/>
      </c>
      <c r="H414" s="2" t="str">
        <f>_xlfn.XLOOKUP(C414, customers!$A:$A, customers!$G:$G,,0)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f>INDEX(products!$A$1:$G$49,MATCH(orders!$D414,products!$A$1:$A$49,0),MATCH(orders!L$1,products!$A$1:$G$1,0))</f>
        <v>11.25</v>
      </c>
      <c r="M414">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cm="1">
        <f t="array" ref="F415">_xlfn.XLOOKUP(C415,customers!$A$1:$A1414,customers!$B$1:$B1414,,0)</f>
        <v>Waylan Springall</v>
      </c>
      <c r="G415" s="2" t="str">
        <f>IF(_xlfn.XLOOKUP(C415, customers!$A:$A, customers!$C:$C,,0)=0, "", _xlfn.XLOOKUP(C415, customers!$A:$A, customers!$C:$C,,0))</f>
        <v>wspringallbh@jugem.jp</v>
      </c>
      <c r="H415" s="2" t="str">
        <f>_xlfn.XLOOKUP(C415, customers!$A:$A, customers!$G:$G,,0)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f>INDEX(products!$A$1:$G$49,MATCH(orders!$D415,products!$A$1:$A$49,0),MATCH(orders!L$1,products!$A$1:$G$1,0))</f>
        <v>36.454999999999998</v>
      </c>
      <c r="M41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cm="1">
        <f t="array" ref="F416">_xlfn.XLOOKUP(C416,customers!$A$1:$A1415,customers!$B$1:$B1415,,0)</f>
        <v>Kiri Avramow</v>
      </c>
      <c r="G416" s="2" t="str">
        <f>IF(_xlfn.XLOOKUP(C416, customers!$A:$A, customers!$C:$C,,0)=0, "", _xlfn.XLOOKUP(C416, customers!$A:$A, customers!$C:$C,,0))</f>
        <v/>
      </c>
      <c r="H416" s="2" t="str">
        <f>_xlfn.XLOOKUP(C416, customers!$A:$A, customers!$G:$G,,0)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f>INDEX(products!$A$1:$G$49,MATCH(orders!$D416,products!$A$1:$A$49,0),MATCH(orders!L$1,products!$A$1:$G$1,0))</f>
        <v>3.5849999999999995</v>
      </c>
      <c r="M416">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cm="1">
        <f t="array" ref="F417">_xlfn.XLOOKUP(C417,customers!$A$1:$A1416,customers!$B$1:$B1416,,0)</f>
        <v>Gregg Hawkyens</v>
      </c>
      <c r="G417" s="2" t="str">
        <f>IF(_xlfn.XLOOKUP(C417, customers!$A:$A, customers!$C:$C,,0)=0, "", _xlfn.XLOOKUP(C417, customers!$A:$A, customers!$C:$C,,0))</f>
        <v>ghawkyensbj@census.gov</v>
      </c>
      <c r="H417" s="2" t="str">
        <f>_xlfn.XLOOKUP(C417, customers!$A:$A, customers!$G:$G,,0)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f>INDEX(products!$A$1:$G$49,MATCH(orders!$D417,products!$A$1:$A$49,0),MATCH(orders!L$1,products!$A$1:$G$1,0))</f>
        <v>2.9849999999999999</v>
      </c>
      <c r="M417">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cm="1">
        <f t="array" ref="F418">_xlfn.XLOOKUP(C418,customers!$A$1:$A1417,customers!$B$1:$B1417,,0)</f>
        <v>Reggis Pracy</v>
      </c>
      <c r="G418" s="2" t="str">
        <f>IF(_xlfn.XLOOKUP(C418, customers!$A:$A, customers!$C:$C,,0)=0, "", _xlfn.XLOOKUP(C418, customers!$A:$A, customers!$C:$C,,0))</f>
        <v/>
      </c>
      <c r="H418" s="2" t="str">
        <f>_xlfn.XLOOKUP(C418, customers!$A:$A, customers!$G:$G,,0)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f>INDEX(products!$A$1:$G$49,MATCH(orders!$D418,products!$A$1:$A$49,0),MATCH(orders!L$1,products!$A$1:$G$1,0))</f>
        <v>7.77</v>
      </c>
      <c r="M418">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cm="1">
        <f t="array" ref="F419">_xlfn.XLOOKUP(C419,customers!$A$1:$A1418,customers!$B$1:$B1418,,0)</f>
        <v>Paula Denis</v>
      </c>
      <c r="G419" s="2" t="str">
        <f>IF(_xlfn.XLOOKUP(C419, customers!$A:$A, customers!$C:$C,,0)=0, "", _xlfn.XLOOKUP(C419, customers!$A:$A, customers!$C:$C,,0))</f>
        <v/>
      </c>
      <c r="H419" s="2" t="str">
        <f>_xlfn.XLOOKUP(C419, customers!$A:$A, customers!$G:$G,,0)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f>INDEX(products!$A$1:$G$49,MATCH(orders!$D419,products!$A$1:$A$49,0),MATCH(orders!L$1,products!$A$1:$G$1,0))</f>
        <v>29.784999999999997</v>
      </c>
      <c r="M419">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cm="1">
        <f t="array" ref="F420">_xlfn.XLOOKUP(C420,customers!$A$1:$A1419,customers!$B$1:$B1419,,0)</f>
        <v>Broderick McGilvra</v>
      </c>
      <c r="G420" s="2" t="str">
        <f>IF(_xlfn.XLOOKUP(C420, customers!$A:$A, customers!$C:$C,,0)=0, "", _xlfn.XLOOKUP(C420, customers!$A:$A, customers!$C:$C,,0))</f>
        <v>bmcgilvrabm@so-net.ne.jp</v>
      </c>
      <c r="H420" s="2" t="str">
        <f>_xlfn.XLOOKUP(C420, customers!$A:$A, customers!$G:$G,,0)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f>INDEX(products!$A$1:$G$49,MATCH(orders!$D420,products!$A$1:$A$49,0),MATCH(orders!L$1,products!$A$1:$G$1,0))</f>
        <v>29.784999999999997</v>
      </c>
      <c r="M420">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cm="1">
        <f t="array" ref="F421">_xlfn.XLOOKUP(C421,customers!$A$1:$A1420,customers!$B$1:$B1420,,0)</f>
        <v>Annabella Danzey</v>
      </c>
      <c r="G421" s="2" t="str">
        <f>IF(_xlfn.XLOOKUP(C421, customers!$A:$A, customers!$C:$C,,0)=0, "", _xlfn.XLOOKUP(C421, customers!$A:$A, customers!$C:$C,,0))</f>
        <v>adanzeybn@github.com</v>
      </c>
      <c r="H421" s="2" t="str">
        <f>_xlfn.XLOOKUP(C421, customers!$A:$A, customers!$G:$G,,0)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f>INDEX(products!$A$1:$G$49,MATCH(orders!$D421,products!$A$1:$A$49,0),MATCH(orders!L$1,products!$A$1:$G$1,0))</f>
        <v>8.73</v>
      </c>
      <c r="M421">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cm="1">
        <f t="array" ref="F422">_xlfn.XLOOKUP(C422,customers!$A$1:$A1421,customers!$B$1:$B1421,,0)</f>
        <v>Terri Farra</v>
      </c>
      <c r="G422" s="2" t="str">
        <f>IF(_xlfn.XLOOKUP(C422, customers!$A:$A, customers!$C:$C,,0)=0, "", _xlfn.XLOOKUP(C422, customers!$A:$A, customers!$C:$C,,0))</f>
        <v>tfarraac@behance.net</v>
      </c>
      <c r="H422" s="2" t="str">
        <f>_xlfn.XLOOKUP(C422, customers!$A:$A, customers!$G:$G,,0)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f>INDEX(products!$A$1:$G$49,MATCH(orders!$D422,products!$A$1:$A$49,0),MATCH(orders!L$1,products!$A$1:$G$1,0))</f>
        <v>7.77</v>
      </c>
      <c r="M422">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cm="1">
        <f t="array" ref="F423">_xlfn.XLOOKUP(C423,customers!$A$1:$A1422,customers!$B$1:$B1422,,0)</f>
        <v>Terri Farra</v>
      </c>
      <c r="G423" s="2" t="str">
        <f>IF(_xlfn.XLOOKUP(C423, customers!$A:$A, customers!$C:$C,,0)=0, "", _xlfn.XLOOKUP(C423, customers!$A:$A, customers!$C:$C,,0))</f>
        <v>tfarraac@behance.net</v>
      </c>
      <c r="H423" s="2" t="str">
        <f>_xlfn.XLOOKUP(C423, customers!$A:$A, customers!$G:$G,,0)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f>INDEX(products!$A$1:$G$49,MATCH(orders!$D423,products!$A$1:$A$49,0),MATCH(orders!L$1,products!$A$1:$G$1,0))</f>
        <v>22.884999999999998</v>
      </c>
      <c r="M423">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cm="1">
        <f t="array" ref="F424">_xlfn.XLOOKUP(C424,customers!$A$1:$A1423,customers!$B$1:$B1423,,0)</f>
        <v>Nevins Glowacz</v>
      </c>
      <c r="G424" s="2" t="str">
        <f>IF(_xlfn.XLOOKUP(C424, customers!$A:$A, customers!$C:$C,,0)=0, "", _xlfn.XLOOKUP(C424, customers!$A:$A, customers!$C:$C,,0))</f>
        <v/>
      </c>
      <c r="H424" s="2" t="str">
        <f>_xlfn.XLOOKUP(C424, customers!$A:$A, customers!$G:$G,,0)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f>INDEX(products!$A$1:$G$49,MATCH(orders!$D424,products!$A$1:$A$49,0),MATCH(orders!L$1,products!$A$1:$G$1,0))</f>
        <v>5.97</v>
      </c>
      <c r="M424">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cm="1">
        <f t="array" ref="F425">_xlfn.XLOOKUP(C425,customers!$A$1:$A1424,customers!$B$1:$B1424,,0)</f>
        <v>Adelice Isabell</v>
      </c>
      <c r="G425" s="2" t="str">
        <f>IF(_xlfn.XLOOKUP(C425, customers!$A:$A, customers!$C:$C,,0)=0, "", _xlfn.XLOOKUP(C425, customers!$A:$A, customers!$C:$C,,0))</f>
        <v/>
      </c>
      <c r="H425" s="2" t="str">
        <f>_xlfn.XLOOKUP(C425, customers!$A:$A, customers!$G:$G,,0)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f>INDEX(products!$A$1:$G$49,MATCH(orders!$D425,products!$A$1:$A$49,0),MATCH(orders!L$1,products!$A$1:$G$1,0))</f>
        <v>5.97</v>
      </c>
      <c r="M42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cm="1">
        <f t="array" ref="F426">_xlfn.XLOOKUP(C426,customers!$A$1:$A1425,customers!$B$1:$B1425,,0)</f>
        <v>Yulma Dombrell</v>
      </c>
      <c r="G426" s="2" t="str">
        <f>IF(_xlfn.XLOOKUP(C426, customers!$A:$A, customers!$C:$C,,0)=0, "", _xlfn.XLOOKUP(C426, customers!$A:$A, customers!$C:$C,,0))</f>
        <v>ydombrellbs@dedecms.com</v>
      </c>
      <c r="H426" s="2" t="str">
        <f>_xlfn.XLOOKUP(C426, customers!$A:$A, customers!$G:$G,,0)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f>INDEX(products!$A$1:$G$49,MATCH(orders!$D426,products!$A$1:$A$49,0),MATCH(orders!L$1,products!$A$1:$G$1,0))</f>
        <v>8.91</v>
      </c>
      <c r="M426">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cm="1">
        <f t="array" ref="F427">_xlfn.XLOOKUP(C427,customers!$A$1:$A1426,customers!$B$1:$B1426,,0)</f>
        <v>Alric Darth</v>
      </c>
      <c r="G427" s="2" t="str">
        <f>IF(_xlfn.XLOOKUP(C427, customers!$A:$A, customers!$C:$C,,0)=0, "", _xlfn.XLOOKUP(C427, customers!$A:$A, customers!$C:$C,,0))</f>
        <v>adarthbt@t.co</v>
      </c>
      <c r="H427" s="2" t="str">
        <f>_xlfn.XLOOKUP(C427, customers!$A:$A, customers!$G:$G,,0)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f>INDEX(products!$A$1:$G$49,MATCH(orders!$D427,products!$A$1:$A$49,0),MATCH(orders!L$1,products!$A$1:$G$1,0))</f>
        <v>8.9499999999999993</v>
      </c>
      <c r="M427">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cm="1">
        <f t="array" ref="F428">_xlfn.XLOOKUP(C428,customers!$A$1:$A1427,customers!$B$1:$B1427,,0)</f>
        <v>Manuel Darrigoe</v>
      </c>
      <c r="G428" s="2" t="str">
        <f>IF(_xlfn.XLOOKUP(C428, customers!$A:$A, customers!$C:$C,,0)=0, "", _xlfn.XLOOKUP(C428, customers!$A:$A, customers!$C:$C,,0))</f>
        <v>mdarrigoebu@hud.gov</v>
      </c>
      <c r="H428" s="2" t="str">
        <f>_xlfn.XLOOKUP(C428, customers!$A:$A, customers!$G:$G,,0)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f>INDEX(products!$A$1:$G$49,MATCH(orders!$D428,products!$A$1:$A$49,0),MATCH(orders!L$1,products!$A$1:$G$1,0))</f>
        <v>3.5849999999999995</v>
      </c>
      <c r="M428">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cm="1">
        <f t="array" ref="F429">_xlfn.XLOOKUP(C429,customers!$A$1:$A1428,customers!$B$1:$B1428,,0)</f>
        <v>Kynthia Berick</v>
      </c>
      <c r="G429" s="2" t="str">
        <f>IF(_xlfn.XLOOKUP(C429, customers!$A:$A, customers!$C:$C,,0)=0, "", _xlfn.XLOOKUP(C429, customers!$A:$A, customers!$C:$C,,0))</f>
        <v/>
      </c>
      <c r="H429" s="2" t="str">
        <f>_xlfn.XLOOKUP(C429, customers!$A:$A, customers!$G:$G,,0)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f>INDEX(products!$A$1:$G$49,MATCH(orders!$D429,products!$A$1:$A$49,0),MATCH(orders!L$1,products!$A$1:$G$1,0))</f>
        <v>25.874999999999996</v>
      </c>
      <c r="M429">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cm="1">
        <f t="array" ref="F430">_xlfn.XLOOKUP(C430,customers!$A$1:$A1429,customers!$B$1:$B1429,,0)</f>
        <v>Minetta Ackrill</v>
      </c>
      <c r="G430" s="2" t="str">
        <f>IF(_xlfn.XLOOKUP(C430, customers!$A:$A, customers!$C:$C,,0)=0, "", _xlfn.XLOOKUP(C430, customers!$A:$A, customers!$C:$C,,0))</f>
        <v>mackrillbw@bandcamp.com</v>
      </c>
      <c r="H430" s="2" t="str">
        <f>_xlfn.XLOOKUP(C430, customers!$A:$A, customers!$G:$G,,0)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f>INDEX(products!$A$1:$G$49,MATCH(orders!$D430,products!$A$1:$A$49,0),MATCH(orders!L$1,products!$A$1:$G$1,0))</f>
        <v>11.95</v>
      </c>
      <c r="M430">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cm="1">
        <f t="array" ref="F431">_xlfn.XLOOKUP(C431,customers!$A$1:$A1430,customers!$B$1:$B1430,,0)</f>
        <v>Terri Farra</v>
      </c>
      <c r="G431" s="2" t="str">
        <f>IF(_xlfn.XLOOKUP(C431, customers!$A:$A, customers!$C:$C,,0)=0, "", _xlfn.XLOOKUP(C431, customers!$A:$A, customers!$C:$C,,0))</f>
        <v>tfarraac@behance.net</v>
      </c>
      <c r="H431" s="2" t="str">
        <f>_xlfn.XLOOKUP(C431, customers!$A:$A, customers!$G:$G,,0)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f>INDEX(products!$A$1:$G$49,MATCH(orders!$D431,products!$A$1:$A$49,0),MATCH(orders!L$1,products!$A$1:$G$1,0))</f>
        <v>12.95</v>
      </c>
      <c r="M431">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cm="1">
        <f t="array" ref="F432">_xlfn.XLOOKUP(C432,customers!$A$1:$A1431,customers!$B$1:$B1431,,0)</f>
        <v>Melosa Kippen</v>
      </c>
      <c r="G432" s="2" t="str">
        <f>IF(_xlfn.XLOOKUP(C432, customers!$A:$A, customers!$C:$C,,0)=0, "", _xlfn.XLOOKUP(C432, customers!$A:$A, customers!$C:$C,,0))</f>
        <v>mkippenby@dion.ne.jp</v>
      </c>
      <c r="H432" s="2" t="str">
        <f>_xlfn.XLOOKUP(C432, customers!$A:$A, customers!$G:$G,,0)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f>INDEX(products!$A$1:$G$49,MATCH(orders!$D432,products!$A$1:$A$49,0),MATCH(orders!L$1,products!$A$1:$G$1,0))</f>
        <v>2.6849999999999996</v>
      </c>
      <c r="M432">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cm="1">
        <f t="array" ref="F433">_xlfn.XLOOKUP(C433,customers!$A$1:$A1432,customers!$B$1:$B1432,,0)</f>
        <v>Witty Ranson</v>
      </c>
      <c r="G433" s="2" t="str">
        <f>IF(_xlfn.XLOOKUP(C433, customers!$A:$A, customers!$C:$C,,0)=0, "", _xlfn.XLOOKUP(C433, customers!$A:$A, customers!$C:$C,,0))</f>
        <v>wransonbz@ted.com</v>
      </c>
      <c r="H433" s="2" t="str">
        <f>_xlfn.XLOOKUP(C433, customers!$A:$A, customers!$G:$G,,0)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f>INDEX(products!$A$1:$G$49,MATCH(orders!$D433,products!$A$1:$A$49,0),MATCH(orders!L$1,products!$A$1:$G$1,0))</f>
        <v>27.945</v>
      </c>
      <c r="M433">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cm="1">
        <f t="array" ref="F434">_xlfn.XLOOKUP(C434,customers!$A$1:$A1433,customers!$B$1:$B1433,,0)</f>
        <v>Rod Gowdie</v>
      </c>
      <c r="G434" s="2" t="str">
        <f>IF(_xlfn.XLOOKUP(C434, customers!$A:$A, customers!$C:$C,,0)=0, "", _xlfn.XLOOKUP(C434, customers!$A:$A, customers!$C:$C,,0))</f>
        <v/>
      </c>
      <c r="H434" s="2" t="str">
        <f>_xlfn.XLOOKUP(C434, customers!$A:$A, customers!$G:$G,,0)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f>INDEX(products!$A$1:$G$49,MATCH(orders!$D434,products!$A$1:$A$49,0),MATCH(orders!L$1,products!$A$1:$G$1,0))</f>
        <v>11.25</v>
      </c>
      <c r="M434">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cm="1">
        <f t="array" ref="F435">_xlfn.XLOOKUP(C435,customers!$A$1:$A1434,customers!$B$1:$B1434,,0)</f>
        <v>Lemuel Rignold</v>
      </c>
      <c r="G435" s="2" t="str">
        <f>IF(_xlfn.XLOOKUP(C435, customers!$A:$A, customers!$C:$C,,0)=0, "", _xlfn.XLOOKUP(C435, customers!$A:$A, customers!$C:$C,,0))</f>
        <v>lrignoldc1@miibeian.gov.cn</v>
      </c>
      <c r="H435" s="2" t="str">
        <f>_xlfn.XLOOKUP(C435, customers!$A:$A, customers!$G:$G,,0)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f>INDEX(products!$A$1:$G$49,MATCH(orders!$D435,products!$A$1:$A$49,0),MATCH(orders!L$1,products!$A$1:$G$1,0))</f>
        <v>33.464999999999996</v>
      </c>
      <c r="M43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cm="1">
        <f t="array" ref="F436">_xlfn.XLOOKUP(C436,customers!$A$1:$A1435,customers!$B$1:$B1435,,0)</f>
        <v>Nevsa Fields</v>
      </c>
      <c r="G436" s="2" t="str">
        <f>IF(_xlfn.XLOOKUP(C436, customers!$A:$A, customers!$C:$C,,0)=0, "", _xlfn.XLOOKUP(C436, customers!$A:$A, customers!$C:$C,,0))</f>
        <v/>
      </c>
      <c r="H436" s="2" t="str">
        <f>_xlfn.XLOOKUP(C436, customers!$A:$A, customers!$G:$G,,0)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f>INDEX(products!$A$1:$G$49,MATCH(orders!$D436,products!$A$1:$A$49,0),MATCH(orders!L$1,products!$A$1:$G$1,0))</f>
        <v>11.25</v>
      </c>
      <c r="M436">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cm="1">
        <f t="array" ref="F437">_xlfn.XLOOKUP(C437,customers!$A$1:$A1436,customers!$B$1:$B1436,,0)</f>
        <v>Chance Rowthorn</v>
      </c>
      <c r="G437" s="2" t="str">
        <f>IF(_xlfn.XLOOKUP(C437, customers!$A:$A, customers!$C:$C,,0)=0, "", _xlfn.XLOOKUP(C437, customers!$A:$A, customers!$C:$C,,0))</f>
        <v>crowthornc3@msn.com</v>
      </c>
      <c r="H437" s="2" t="str">
        <f>_xlfn.XLOOKUP(C437, customers!$A:$A, customers!$G:$G,,0)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f>INDEX(products!$A$1:$G$49,MATCH(orders!$D437,products!$A$1:$A$49,0),MATCH(orders!L$1,products!$A$1:$G$1,0))</f>
        <v>8.25</v>
      </c>
      <c r="M437">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cm="1">
        <f t="array" ref="F438">_xlfn.XLOOKUP(C438,customers!$A$1:$A1437,customers!$B$1:$B1437,,0)</f>
        <v>Orly Ryland</v>
      </c>
      <c r="G438" s="2" t="str">
        <f>IF(_xlfn.XLOOKUP(C438, customers!$A:$A, customers!$C:$C,,0)=0, "", _xlfn.XLOOKUP(C438, customers!$A:$A, customers!$C:$C,,0))</f>
        <v>orylandc4@deviantart.com</v>
      </c>
      <c r="H438" s="2" t="str">
        <f>_xlfn.XLOOKUP(C438, customers!$A:$A, customers!$G:$G,,0)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f>INDEX(products!$A$1:$G$49,MATCH(orders!$D438,products!$A$1:$A$49,0),MATCH(orders!L$1,products!$A$1:$G$1,0))</f>
        <v>4.7549999999999999</v>
      </c>
      <c r="M438">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cm="1">
        <f t="array" ref="F439">_xlfn.XLOOKUP(C439,customers!$A$1:$A1438,customers!$B$1:$B1438,,0)</f>
        <v>Willabella Abramski</v>
      </c>
      <c r="G439" s="2" t="str">
        <f>IF(_xlfn.XLOOKUP(C439, customers!$A:$A, customers!$C:$C,,0)=0, "", _xlfn.XLOOKUP(C439, customers!$A:$A, customers!$C:$C,,0))</f>
        <v/>
      </c>
      <c r="H439" s="2" t="str">
        <f>_xlfn.XLOOKUP(C439, customers!$A:$A, customers!$G:$G,,0)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f>INDEX(products!$A$1:$G$49,MATCH(orders!$D439,products!$A$1:$A$49,0),MATCH(orders!L$1,products!$A$1:$G$1,0))</f>
        <v>29.784999999999997</v>
      </c>
      <c r="M439">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cm="1">
        <f t="array" ref="F440">_xlfn.XLOOKUP(C440,customers!$A$1:$A1439,customers!$B$1:$B1439,,0)</f>
        <v>Morgen Seson</v>
      </c>
      <c r="G440" s="2" t="str">
        <f>IF(_xlfn.XLOOKUP(C440, customers!$A:$A, customers!$C:$C,,0)=0, "", _xlfn.XLOOKUP(C440, customers!$A:$A, customers!$C:$C,,0))</f>
        <v>msesonck@census.gov</v>
      </c>
      <c r="H440" s="2" t="str">
        <f>_xlfn.XLOOKUP(C440, customers!$A:$A, customers!$G:$G,,0)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f>INDEX(products!$A$1:$G$49,MATCH(orders!$D440,products!$A$1:$A$49,0),MATCH(orders!L$1,products!$A$1:$G$1,0))</f>
        <v>7.77</v>
      </c>
      <c r="M440">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cm="1">
        <f t="array" ref="F441">_xlfn.XLOOKUP(C441,customers!$A$1:$A1440,customers!$B$1:$B1440,,0)</f>
        <v>Chickie Ragless</v>
      </c>
      <c r="G441" s="2" t="str">
        <f>IF(_xlfn.XLOOKUP(C441, customers!$A:$A, customers!$C:$C,,0)=0, "", _xlfn.XLOOKUP(C441, customers!$A:$A, customers!$C:$C,,0))</f>
        <v>craglessc7@webmd.com</v>
      </c>
      <c r="H441" s="2" t="str">
        <f>_xlfn.XLOOKUP(C441, customers!$A:$A, customers!$G:$G,,0)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f>INDEX(products!$A$1:$G$49,MATCH(orders!$D441,products!$A$1:$A$49,0),MATCH(orders!L$1,products!$A$1:$G$1,0))</f>
        <v>8.91</v>
      </c>
      <c r="M441">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cm="1">
        <f t="array" ref="F442">_xlfn.XLOOKUP(C442,customers!$A$1:$A1441,customers!$B$1:$B1441,,0)</f>
        <v>Freda Hollows</v>
      </c>
      <c r="G442" s="2" t="str">
        <f>IF(_xlfn.XLOOKUP(C442, customers!$A:$A, customers!$C:$C,,0)=0, "", _xlfn.XLOOKUP(C442, customers!$A:$A, customers!$C:$C,,0))</f>
        <v>fhollowsc8@blogtalkradio.com</v>
      </c>
      <c r="H442" s="2" t="str">
        <f>_xlfn.XLOOKUP(C442, customers!$A:$A, customers!$G:$G,,0)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f>INDEX(products!$A$1:$G$49,MATCH(orders!$D442,products!$A$1:$A$49,0),MATCH(orders!L$1,products!$A$1:$G$1,0))</f>
        <v>25.874999999999996</v>
      </c>
      <c r="M442">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cm="1">
        <f t="array" ref="F443">_xlfn.XLOOKUP(C443,customers!$A$1:$A1442,customers!$B$1:$B1442,,0)</f>
        <v>Livy Lathleiff</v>
      </c>
      <c r="G443" s="2" t="str">
        <f>IF(_xlfn.XLOOKUP(C443, customers!$A:$A, customers!$C:$C,,0)=0, "", _xlfn.XLOOKUP(C443, customers!$A:$A, customers!$C:$C,,0))</f>
        <v>llathleiffc9@nationalgeographic.com</v>
      </c>
      <c r="H443" s="2" t="str">
        <f>_xlfn.XLOOKUP(C443, customers!$A:$A, customers!$G:$G,,0)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f>INDEX(products!$A$1:$G$49,MATCH(orders!$D443,products!$A$1:$A$49,0),MATCH(orders!L$1,products!$A$1:$G$1,0))</f>
        <v>12.15</v>
      </c>
      <c r="M443">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cm="1">
        <f t="array" ref="F444">_xlfn.XLOOKUP(C444,customers!$A$1:$A1443,customers!$B$1:$B1443,,0)</f>
        <v>Koralle Heads</v>
      </c>
      <c r="G444" s="2" t="str">
        <f>IF(_xlfn.XLOOKUP(C444, customers!$A:$A, customers!$C:$C,,0)=0, "", _xlfn.XLOOKUP(C444, customers!$A:$A, customers!$C:$C,,0))</f>
        <v>kheadsca@jalbum.net</v>
      </c>
      <c r="H444" s="2" t="str">
        <f>_xlfn.XLOOKUP(C444, customers!$A:$A, customers!$G:$G,,0)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f>INDEX(products!$A$1:$G$49,MATCH(orders!$D444,products!$A$1:$A$49,0),MATCH(orders!L$1,products!$A$1:$G$1,0))</f>
        <v>7.169999999999999</v>
      </c>
      <c r="M444">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cm="1">
        <f t="array" ref="F445">_xlfn.XLOOKUP(C445,customers!$A$1:$A1444,customers!$B$1:$B1444,,0)</f>
        <v>Theo Bowne</v>
      </c>
      <c r="G445" s="2" t="str">
        <f>IF(_xlfn.XLOOKUP(C445, customers!$A:$A, customers!$C:$C,,0)=0, "", _xlfn.XLOOKUP(C445, customers!$A:$A, customers!$C:$C,,0))</f>
        <v>tbownecb@unicef.org</v>
      </c>
      <c r="H445" s="2" t="str">
        <f>_xlfn.XLOOKUP(C445, customers!$A:$A, customers!$G:$G,,0)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f>INDEX(products!$A$1:$G$49,MATCH(orders!$D445,products!$A$1:$A$49,0),MATCH(orders!L$1,products!$A$1:$G$1,0))</f>
        <v>4.4550000000000001</v>
      </c>
      <c r="M44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cm="1">
        <f t="array" ref="F446">_xlfn.XLOOKUP(C446,customers!$A$1:$A1445,customers!$B$1:$B1445,,0)</f>
        <v>Rasia Jacquemard</v>
      </c>
      <c r="G446" s="2" t="str">
        <f>IF(_xlfn.XLOOKUP(C446, customers!$A:$A, customers!$C:$C,,0)=0, "", _xlfn.XLOOKUP(C446, customers!$A:$A, customers!$C:$C,,0))</f>
        <v>rjacquemardcc@acquirethisname.com</v>
      </c>
      <c r="H446" s="2" t="str">
        <f>_xlfn.XLOOKUP(C446, customers!$A:$A, customers!$G:$G,,0)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f>INDEX(products!$A$1:$G$49,MATCH(orders!$D446,products!$A$1:$A$49,0),MATCH(orders!L$1,products!$A$1:$G$1,0))</f>
        <v>4.125</v>
      </c>
      <c r="M446">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cm="1">
        <f t="array" ref="F447">_xlfn.XLOOKUP(C447,customers!$A$1:$A1446,customers!$B$1:$B1446,,0)</f>
        <v>Kizzie Warman</v>
      </c>
      <c r="G447" s="2" t="str">
        <f>IF(_xlfn.XLOOKUP(C447, customers!$A:$A, customers!$C:$C,,0)=0, "", _xlfn.XLOOKUP(C447, customers!$A:$A, customers!$C:$C,,0))</f>
        <v>kwarmancd@printfriendly.com</v>
      </c>
      <c r="H447" s="2" t="str">
        <f>_xlfn.XLOOKUP(C447, customers!$A:$A, customers!$G:$G,,0)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f>INDEX(products!$A$1:$G$49,MATCH(orders!$D447,products!$A$1:$A$49,0),MATCH(orders!L$1,products!$A$1:$G$1,0))</f>
        <v>33.464999999999996</v>
      </c>
      <c r="M447">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cm="1">
        <f t="array" ref="F448">_xlfn.XLOOKUP(C448,customers!$A$1:$A1447,customers!$B$1:$B1447,,0)</f>
        <v>Wain Cholomin</v>
      </c>
      <c r="G448" s="2" t="str">
        <f>IF(_xlfn.XLOOKUP(C448, customers!$A:$A, customers!$C:$C,,0)=0, "", _xlfn.XLOOKUP(C448, customers!$A:$A, customers!$C:$C,,0))</f>
        <v>wcholomince@about.com</v>
      </c>
      <c r="H448" s="2" t="str">
        <f>_xlfn.XLOOKUP(C448, customers!$A:$A, customers!$G:$G,,0)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f>INDEX(products!$A$1:$G$49,MATCH(orders!$D448,products!$A$1:$A$49,0),MATCH(orders!L$1,products!$A$1:$G$1,0))</f>
        <v>8.73</v>
      </c>
      <c r="M448">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cm="1">
        <f t="array" ref="F449">_xlfn.XLOOKUP(C449,customers!$A$1:$A1448,customers!$B$1:$B1448,,0)</f>
        <v>Arleen Braidman</v>
      </c>
      <c r="G449" s="2" t="str">
        <f>IF(_xlfn.XLOOKUP(C449, customers!$A:$A, customers!$C:$C,,0)=0, "", _xlfn.XLOOKUP(C449, customers!$A:$A, customers!$C:$C,,0))</f>
        <v>abraidmancf@census.gov</v>
      </c>
      <c r="H449" s="2" t="str">
        <f>_xlfn.XLOOKUP(C449, customers!$A:$A, customers!$G:$G,,0)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f>INDEX(products!$A$1:$G$49,MATCH(orders!$D449,products!$A$1:$A$49,0),MATCH(orders!L$1,products!$A$1:$G$1,0))</f>
        <v>5.97</v>
      </c>
      <c r="M449">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cm="1">
        <f t="array" ref="F450">_xlfn.XLOOKUP(C450,customers!$A$1:$A1449,customers!$B$1:$B1449,,0)</f>
        <v>Pru Durban</v>
      </c>
      <c r="G450" s="2" t="str">
        <f>IF(_xlfn.XLOOKUP(C450, customers!$A:$A, customers!$C:$C,,0)=0, "", _xlfn.XLOOKUP(C450, customers!$A:$A, customers!$C:$C,,0))</f>
        <v>pdurbancg@symantec.com</v>
      </c>
      <c r="H450" s="2" t="str">
        <f>_xlfn.XLOOKUP(C450, customers!$A:$A, customers!$G:$G,,0)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f>INDEX(products!$A$1:$G$49,MATCH(orders!$D450,products!$A$1:$A$49,0),MATCH(orders!L$1,products!$A$1:$G$1,0))</f>
        <v>7.169999999999999</v>
      </c>
      <c r="M450">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cm="1">
        <f t="array" ref="F451">_xlfn.XLOOKUP(C451,customers!$A$1:$A1450,customers!$B$1:$B1450,,0)</f>
        <v>Antone Harrold</v>
      </c>
      <c r="G451" s="2" t="str">
        <f>IF(_xlfn.XLOOKUP(C451, customers!$A:$A, customers!$C:$C,,0)=0, "", _xlfn.XLOOKUP(C451, customers!$A:$A, customers!$C:$C,,0))</f>
        <v>aharroldch@miibeian.gov.cn</v>
      </c>
      <c r="H451" s="2" t="str">
        <f>_xlfn.XLOOKUP(C451, customers!$A:$A, customers!$G:$G,,0)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f>INDEX(products!$A$1:$G$49,MATCH(orders!$D451,products!$A$1:$A$49,0),MATCH(orders!L$1,products!$A$1:$G$1,0))</f>
        <v>2.6849999999999996</v>
      </c>
      <c r="M451">
        <f t="shared" ref="M451:M514" si="21">L451*E451</f>
        <v>5.3699999999999992</v>
      </c>
      <c r="N451" t="str">
        <f t="shared" ref="N451:N514" si="22">IF(I451="Rob", "Robusta", IF(I451="Exc","Excelsa",IF(I451="Ara","Arabica", 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cm="1">
        <f t="array" ref="F452">_xlfn.XLOOKUP(C452,customers!$A$1:$A1451,customers!$B$1:$B1451,,0)</f>
        <v>Sim Pamphilon</v>
      </c>
      <c r="G452" s="2" t="str">
        <f>IF(_xlfn.XLOOKUP(C452, customers!$A:$A, customers!$C:$C,,0)=0, "", _xlfn.XLOOKUP(C452, customers!$A:$A, customers!$C:$C,,0))</f>
        <v>spamphilonci@mlb.com</v>
      </c>
      <c r="H452" s="2" t="str">
        <f>_xlfn.XLOOKUP(C452, customers!$A:$A, customers!$G:$G,,0)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f>INDEX(products!$A$1:$G$49,MATCH(orders!$D452,products!$A$1:$A$49,0),MATCH(orders!L$1,products!$A$1:$G$1,0))</f>
        <v>4.7549999999999999</v>
      </c>
      <c r="M452">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cm="1">
        <f t="array" ref="F453">_xlfn.XLOOKUP(C453,customers!$A$1:$A1452,customers!$B$1:$B1452,,0)</f>
        <v>Mohandis Spurden</v>
      </c>
      <c r="G453" s="2" t="str">
        <f>IF(_xlfn.XLOOKUP(C453, customers!$A:$A, customers!$C:$C,,0)=0, "", _xlfn.XLOOKUP(C453, customers!$A:$A, customers!$C:$C,,0))</f>
        <v>mspurdencj@exblog.jp</v>
      </c>
      <c r="H453" s="2" t="str">
        <f>_xlfn.XLOOKUP(C453, customers!$A:$A, customers!$G:$G,,0)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f>INDEX(products!$A$1:$G$49,MATCH(orders!$D453,products!$A$1:$A$49,0),MATCH(orders!L$1,products!$A$1:$G$1,0))</f>
        <v>20.584999999999997</v>
      </c>
      <c r="M453">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cm="1">
        <f t="array" ref="F454">_xlfn.XLOOKUP(C454,customers!$A$1:$A1453,customers!$B$1:$B1453,,0)</f>
        <v>Morgen Seson</v>
      </c>
      <c r="G454" s="2" t="str">
        <f>IF(_xlfn.XLOOKUP(C454, customers!$A:$A, customers!$C:$C,,0)=0, "", _xlfn.XLOOKUP(C454, customers!$A:$A, customers!$C:$C,,0))</f>
        <v>msesonck@census.gov</v>
      </c>
      <c r="H454" s="2" t="str">
        <f>_xlfn.XLOOKUP(C454, customers!$A:$A, customers!$G:$G,,0)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f>INDEX(products!$A$1:$G$49,MATCH(orders!$D454,products!$A$1:$A$49,0),MATCH(orders!L$1,products!$A$1:$G$1,0))</f>
        <v>3.8849999999999998</v>
      </c>
      <c r="M454">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cm="1">
        <f t="array" ref="F455">_xlfn.XLOOKUP(C455,customers!$A$1:$A1454,customers!$B$1:$B1454,,0)</f>
        <v>Nalani Pirrone</v>
      </c>
      <c r="G455" s="2" t="str">
        <f>IF(_xlfn.XLOOKUP(C455, customers!$A:$A, customers!$C:$C,,0)=0, "", _xlfn.XLOOKUP(C455, customers!$A:$A, customers!$C:$C,,0))</f>
        <v>npirronecl@weibo.com</v>
      </c>
      <c r="H455" s="2" t="str">
        <f>_xlfn.XLOOKUP(C455, customers!$A:$A, customers!$G:$G,,0)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f>INDEX(products!$A$1:$G$49,MATCH(orders!$D455,products!$A$1:$A$49,0),MATCH(orders!L$1,products!$A$1:$G$1,0))</f>
        <v>9.51</v>
      </c>
      <c r="M45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cm="1">
        <f t="array" ref="F456">_xlfn.XLOOKUP(C456,customers!$A$1:$A1455,customers!$B$1:$B1455,,0)</f>
        <v>Reube Cawley</v>
      </c>
      <c r="G456" s="2" t="str">
        <f>IF(_xlfn.XLOOKUP(C456, customers!$A:$A, customers!$C:$C,,0)=0, "", _xlfn.XLOOKUP(C456, customers!$A:$A, customers!$C:$C,,0))</f>
        <v>rcawleycm@yellowbook.com</v>
      </c>
      <c r="H456" s="2" t="str">
        <f>_xlfn.XLOOKUP(C456, customers!$A:$A, customers!$G:$G,,0)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f>INDEX(products!$A$1:$G$49,MATCH(orders!$D456,products!$A$1:$A$49,0),MATCH(orders!L$1,products!$A$1:$G$1,0))</f>
        <v>20.584999999999997</v>
      </c>
      <c r="M456">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cm="1">
        <f t="array" ref="F457">_xlfn.XLOOKUP(C457,customers!$A$1:$A1456,customers!$B$1:$B1456,,0)</f>
        <v>Stan Barribal</v>
      </c>
      <c r="G457" s="2" t="str">
        <f>IF(_xlfn.XLOOKUP(C457, customers!$A:$A, customers!$C:$C,,0)=0, "", _xlfn.XLOOKUP(C457, customers!$A:$A, customers!$C:$C,,0))</f>
        <v>sbarribalcn@microsoft.com</v>
      </c>
      <c r="H457" s="2" t="str">
        <f>_xlfn.XLOOKUP(C457, customers!$A:$A, customers!$G:$G,,0)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f>INDEX(products!$A$1:$G$49,MATCH(orders!$D457,products!$A$1:$A$49,0),MATCH(orders!L$1,products!$A$1:$G$1,0))</f>
        <v>4.7549999999999999</v>
      </c>
      <c r="M457">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cm="1">
        <f t="array" ref="F458">_xlfn.XLOOKUP(C458,customers!$A$1:$A1457,customers!$B$1:$B1457,,0)</f>
        <v>Agnes Adamides</v>
      </c>
      <c r="G458" s="2" t="str">
        <f>IF(_xlfn.XLOOKUP(C458, customers!$A:$A, customers!$C:$C,,0)=0, "", _xlfn.XLOOKUP(C458, customers!$A:$A, customers!$C:$C,,0))</f>
        <v>aadamidesco@bizjournals.com</v>
      </c>
      <c r="H458" s="2" t="str">
        <f>_xlfn.XLOOKUP(C458, customers!$A:$A, customers!$G:$G,,0)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f>INDEX(products!$A$1:$G$49,MATCH(orders!$D458,products!$A$1:$A$49,0),MATCH(orders!L$1,products!$A$1:$G$1,0))</f>
        <v>20.584999999999997</v>
      </c>
      <c r="M458">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cm="1">
        <f t="array" ref="F459">_xlfn.XLOOKUP(C459,customers!$A$1:$A1458,customers!$B$1:$B1458,,0)</f>
        <v>Carmelita Thowes</v>
      </c>
      <c r="G459" s="2" t="str">
        <f>IF(_xlfn.XLOOKUP(C459, customers!$A:$A, customers!$C:$C,,0)=0, "", _xlfn.XLOOKUP(C459, customers!$A:$A, customers!$C:$C,,0))</f>
        <v>cthowescp@craigslist.org</v>
      </c>
      <c r="H459" s="2" t="str">
        <f>_xlfn.XLOOKUP(C459, customers!$A:$A, customers!$G:$G,,0)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f>INDEX(products!$A$1:$G$49,MATCH(orders!$D459,products!$A$1:$A$49,0),MATCH(orders!L$1,products!$A$1:$G$1,0))</f>
        <v>9.51</v>
      </c>
      <c r="M459">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cm="1">
        <f t="array" ref="F460">_xlfn.XLOOKUP(C460,customers!$A$1:$A1459,customers!$B$1:$B1459,,0)</f>
        <v>Rodolfo Willoway</v>
      </c>
      <c r="G460" s="2" t="str">
        <f>IF(_xlfn.XLOOKUP(C460, customers!$A:$A, customers!$C:$C,,0)=0, "", _xlfn.XLOOKUP(C460, customers!$A:$A, customers!$C:$C,,0))</f>
        <v>rwillowaycq@admin.ch</v>
      </c>
      <c r="H460" s="2" t="str">
        <f>_xlfn.XLOOKUP(C460, customers!$A:$A, customers!$G:$G,,0)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f>INDEX(products!$A$1:$G$49,MATCH(orders!$D460,products!$A$1:$A$49,0),MATCH(orders!L$1,products!$A$1:$G$1,0))</f>
        <v>11.25</v>
      </c>
      <c r="M460">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cm="1">
        <f t="array" ref="F461">_xlfn.XLOOKUP(C461,customers!$A$1:$A1460,customers!$B$1:$B1460,,0)</f>
        <v>Alvis Elwin</v>
      </c>
      <c r="G461" s="2" t="str">
        <f>IF(_xlfn.XLOOKUP(C461, customers!$A:$A, customers!$C:$C,,0)=0, "", _xlfn.XLOOKUP(C461, customers!$A:$A, customers!$C:$C,,0))</f>
        <v>aelwincr@privacy.gov.au</v>
      </c>
      <c r="H461" s="2" t="str">
        <f>_xlfn.XLOOKUP(C461, customers!$A:$A, customers!$G:$G,,0)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f>INDEX(products!$A$1:$G$49,MATCH(orders!$D461,products!$A$1:$A$49,0),MATCH(orders!L$1,products!$A$1:$G$1,0))</f>
        <v>4.7549999999999999</v>
      </c>
      <c r="M461">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cm="1">
        <f t="array" ref="F462">_xlfn.XLOOKUP(C462,customers!$A$1:$A1461,customers!$B$1:$B1461,,0)</f>
        <v>Araldo Bilbrook</v>
      </c>
      <c r="G462" s="2" t="str">
        <f>IF(_xlfn.XLOOKUP(C462, customers!$A:$A, customers!$C:$C,,0)=0, "", _xlfn.XLOOKUP(C462, customers!$A:$A, customers!$C:$C,,0))</f>
        <v>abilbrookcs@booking.com</v>
      </c>
      <c r="H462" s="2" t="str">
        <f>_xlfn.XLOOKUP(C462, customers!$A:$A, customers!$G:$G,,0)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f>INDEX(products!$A$1:$G$49,MATCH(orders!$D462,products!$A$1:$A$49,0),MATCH(orders!L$1,products!$A$1:$G$1,0))</f>
        <v>5.3699999999999992</v>
      </c>
      <c r="M462">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cm="1">
        <f t="array" ref="F463">_xlfn.XLOOKUP(C463,customers!$A$1:$A1462,customers!$B$1:$B1462,,0)</f>
        <v>Ransell McKall</v>
      </c>
      <c r="G463" s="2" t="str">
        <f>IF(_xlfn.XLOOKUP(C463, customers!$A:$A, customers!$C:$C,,0)=0, "", _xlfn.XLOOKUP(C463, customers!$A:$A, customers!$C:$C,,0))</f>
        <v>rmckallct@sakura.ne.jp</v>
      </c>
      <c r="H463" s="2" t="str">
        <f>_xlfn.XLOOKUP(C463, customers!$A:$A, customers!$G:$G,,0)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f>INDEX(products!$A$1:$G$49,MATCH(orders!$D463,products!$A$1:$A$49,0),MATCH(orders!L$1,products!$A$1:$G$1,0))</f>
        <v>2.6849999999999996</v>
      </c>
      <c r="M463">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cm="1">
        <f t="array" ref="F464">_xlfn.XLOOKUP(C464,customers!$A$1:$A1463,customers!$B$1:$B1463,,0)</f>
        <v>Borg Daile</v>
      </c>
      <c r="G464" s="2" t="str">
        <f>IF(_xlfn.XLOOKUP(C464, customers!$A:$A, customers!$C:$C,,0)=0, "", _xlfn.XLOOKUP(C464, customers!$A:$A, customers!$C:$C,,0))</f>
        <v>bdailecu@vistaprint.com</v>
      </c>
      <c r="H464" s="2" t="str">
        <f>_xlfn.XLOOKUP(C464, customers!$A:$A, customers!$G:$G,,0)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f>INDEX(products!$A$1:$G$49,MATCH(orders!$D464,products!$A$1:$A$49,0),MATCH(orders!L$1,products!$A$1:$G$1,0))</f>
        <v>9.9499999999999993</v>
      </c>
      <c r="M464">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cm="1">
        <f t="array" ref="F465">_xlfn.XLOOKUP(C465,customers!$A$1:$A1464,customers!$B$1:$B1464,,0)</f>
        <v>Adolphe Treherne</v>
      </c>
      <c r="G465" s="2" t="str">
        <f>IF(_xlfn.XLOOKUP(C465, customers!$A:$A, customers!$C:$C,,0)=0, "", _xlfn.XLOOKUP(C465, customers!$A:$A, customers!$C:$C,,0))</f>
        <v>atrehernecv@state.tx.us</v>
      </c>
      <c r="H465" s="2" t="str">
        <f>_xlfn.XLOOKUP(C465, customers!$A:$A, customers!$G:$G,,0)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f>INDEX(products!$A$1:$G$49,MATCH(orders!$D465,products!$A$1:$A$49,0),MATCH(orders!L$1,products!$A$1:$G$1,0))</f>
        <v>13.75</v>
      </c>
      <c r="M46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cm="1">
        <f t="array" ref="F466">_xlfn.XLOOKUP(C466,customers!$A$1:$A1465,customers!$B$1:$B1465,,0)</f>
        <v>Annetta Brentnall</v>
      </c>
      <c r="G466" s="2" t="str">
        <f>IF(_xlfn.XLOOKUP(C466, customers!$A:$A, customers!$C:$C,,0)=0, "", _xlfn.XLOOKUP(C466, customers!$A:$A, customers!$C:$C,,0))</f>
        <v>abrentnallcw@biglobe.ne.jp</v>
      </c>
      <c r="H466" s="2" t="str">
        <f>_xlfn.XLOOKUP(C466, customers!$A:$A, customers!$G:$G,,0)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f>INDEX(products!$A$1:$G$49,MATCH(orders!$D466,products!$A$1:$A$49,0),MATCH(orders!L$1,products!$A$1:$G$1,0))</f>
        <v>29.784999999999997</v>
      </c>
      <c r="M466">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cm="1">
        <f t="array" ref="F467">_xlfn.XLOOKUP(C467,customers!$A$1:$A1466,customers!$B$1:$B1466,,0)</f>
        <v>Dick Drinkall</v>
      </c>
      <c r="G467" s="2" t="str">
        <f>IF(_xlfn.XLOOKUP(C467, customers!$A:$A, customers!$C:$C,,0)=0, "", _xlfn.XLOOKUP(C467, customers!$A:$A, customers!$C:$C,,0))</f>
        <v>ddrinkallcx@psu.edu</v>
      </c>
      <c r="H467" s="2" t="str">
        <f>_xlfn.XLOOKUP(C467, customers!$A:$A, customers!$G:$G,,0)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f>INDEX(products!$A$1:$G$49,MATCH(orders!$D467,products!$A$1:$A$49,0),MATCH(orders!L$1,products!$A$1:$G$1,0))</f>
        <v>20.584999999999997</v>
      </c>
      <c r="M467">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cm="1">
        <f t="array" ref="F468">_xlfn.XLOOKUP(C468,customers!$A$1:$A1467,customers!$B$1:$B1467,,0)</f>
        <v>Dagny Kornel</v>
      </c>
      <c r="G468" s="2" t="str">
        <f>IF(_xlfn.XLOOKUP(C468, customers!$A:$A, customers!$C:$C,,0)=0, "", _xlfn.XLOOKUP(C468, customers!$A:$A, customers!$C:$C,,0))</f>
        <v>dkornelcy@cyberchimps.com</v>
      </c>
      <c r="H468" s="2" t="str">
        <f>_xlfn.XLOOKUP(C468, customers!$A:$A, customers!$G:$G,,0)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f>INDEX(products!$A$1:$G$49,MATCH(orders!$D468,products!$A$1:$A$49,0),MATCH(orders!L$1,products!$A$1:$G$1,0))</f>
        <v>2.9849999999999999</v>
      </c>
      <c r="M468">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cm="1">
        <f t="array" ref="F469">_xlfn.XLOOKUP(C469,customers!$A$1:$A1468,customers!$B$1:$B1468,,0)</f>
        <v>Rhona Lequeux</v>
      </c>
      <c r="G469" s="2" t="str">
        <f>IF(_xlfn.XLOOKUP(C469, customers!$A:$A, customers!$C:$C,,0)=0, "", _xlfn.XLOOKUP(C469, customers!$A:$A, customers!$C:$C,,0))</f>
        <v>rlequeuxcz@newyorker.com</v>
      </c>
      <c r="H469" s="2" t="str">
        <f>_xlfn.XLOOKUP(C469, customers!$A:$A, customers!$G:$G,,0)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f>INDEX(products!$A$1:$G$49,MATCH(orders!$D469,products!$A$1:$A$49,0),MATCH(orders!L$1,products!$A$1:$G$1,0))</f>
        <v>5.97</v>
      </c>
      <c r="M469">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cm="1">
        <f t="array" ref="F470">_xlfn.XLOOKUP(C470,customers!$A$1:$A1469,customers!$B$1:$B1469,,0)</f>
        <v>Julius Mccaull</v>
      </c>
      <c r="G470" s="2" t="str">
        <f>IF(_xlfn.XLOOKUP(C470, customers!$A:$A, customers!$C:$C,,0)=0, "", _xlfn.XLOOKUP(C470, customers!$A:$A, customers!$C:$C,,0))</f>
        <v>jmccaulld0@parallels.com</v>
      </c>
      <c r="H470" s="2" t="str">
        <f>_xlfn.XLOOKUP(C470, customers!$A:$A, customers!$G:$G,,0)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f>INDEX(products!$A$1:$G$49,MATCH(orders!$D470,products!$A$1:$A$49,0),MATCH(orders!L$1,products!$A$1:$G$1,0))</f>
        <v>13.75</v>
      </c>
      <c r="M470">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cm="1">
        <f t="array" ref="F471">_xlfn.XLOOKUP(C471,customers!$A$1:$A1470,customers!$B$1:$B1470,,0)</f>
        <v>Ailey Brash</v>
      </c>
      <c r="G471" s="2" t="str">
        <f>IF(_xlfn.XLOOKUP(C471, customers!$A:$A, customers!$C:$C,,0)=0, "", _xlfn.XLOOKUP(C471, customers!$A:$A, customers!$C:$C,,0))</f>
        <v>abrashda@plala.or.jp</v>
      </c>
      <c r="H471" s="2" t="str">
        <f>_xlfn.XLOOKUP(C471, customers!$A:$A, customers!$G:$G,,0)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f>INDEX(products!$A$1:$G$49,MATCH(orders!$D471,products!$A$1:$A$49,0),MATCH(orders!L$1,products!$A$1:$G$1,0))</f>
        <v>4.4550000000000001</v>
      </c>
      <c r="M471">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cm="1">
        <f t="array" ref="F472">_xlfn.XLOOKUP(C472,customers!$A$1:$A1471,customers!$B$1:$B1471,,0)</f>
        <v>Alberto Hutchinson</v>
      </c>
      <c r="G472" s="2" t="str">
        <f>IF(_xlfn.XLOOKUP(C472, customers!$A:$A, customers!$C:$C,,0)=0, "", _xlfn.XLOOKUP(C472, customers!$A:$A, customers!$C:$C,,0))</f>
        <v>ahutchinsond2@imgur.com</v>
      </c>
      <c r="H472" s="2" t="str">
        <f>_xlfn.XLOOKUP(C472, customers!$A:$A, customers!$G:$G,,0)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f>INDEX(products!$A$1:$G$49,MATCH(orders!$D472,products!$A$1:$A$49,0),MATCH(orders!L$1,products!$A$1:$G$1,0))</f>
        <v>6.75</v>
      </c>
      <c r="M472">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cm="1">
        <f t="array" ref="F473">_xlfn.XLOOKUP(C473,customers!$A$1:$A1472,customers!$B$1:$B1472,,0)</f>
        <v>Lamond Gheeraert</v>
      </c>
      <c r="G473" s="2" t="str">
        <f>IF(_xlfn.XLOOKUP(C473, customers!$A:$A, customers!$C:$C,,0)=0, "", _xlfn.XLOOKUP(C473, customers!$A:$A, customers!$C:$C,,0))</f>
        <v/>
      </c>
      <c r="H473" s="2" t="str">
        <f>_xlfn.XLOOKUP(C473, customers!$A:$A, customers!$G:$G,,0)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f>INDEX(products!$A$1:$G$49,MATCH(orders!$D473,products!$A$1:$A$49,0),MATCH(orders!L$1,products!$A$1:$G$1,0))</f>
        <v>33.464999999999996</v>
      </c>
      <c r="M473">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cm="1">
        <f t="array" ref="F474">_xlfn.XLOOKUP(C474,customers!$A$1:$A1473,customers!$B$1:$B1473,,0)</f>
        <v>Roxine Drivers</v>
      </c>
      <c r="G474" s="2" t="str">
        <f>IF(_xlfn.XLOOKUP(C474, customers!$A:$A, customers!$C:$C,,0)=0, "", _xlfn.XLOOKUP(C474, customers!$A:$A, customers!$C:$C,,0))</f>
        <v>rdriversd4@hexun.com</v>
      </c>
      <c r="H474" s="2" t="str">
        <f>_xlfn.XLOOKUP(C474, customers!$A:$A, customers!$G:$G,,0)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f>INDEX(products!$A$1:$G$49,MATCH(orders!$D474,products!$A$1:$A$49,0),MATCH(orders!L$1,products!$A$1:$G$1,0))</f>
        <v>2.9849999999999999</v>
      </c>
      <c r="M474">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cm="1">
        <f t="array" ref="F475">_xlfn.XLOOKUP(C475,customers!$A$1:$A1474,customers!$B$1:$B1474,,0)</f>
        <v>Heloise Zeal</v>
      </c>
      <c r="G475" s="2" t="str">
        <f>IF(_xlfn.XLOOKUP(C475, customers!$A:$A, customers!$C:$C,,0)=0, "", _xlfn.XLOOKUP(C475, customers!$A:$A, customers!$C:$C,,0))</f>
        <v>hzeald5@google.de</v>
      </c>
      <c r="H475" s="2" t="str">
        <f>_xlfn.XLOOKUP(C475, customers!$A:$A, customers!$G:$G,,0)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f>INDEX(products!$A$1:$G$49,MATCH(orders!$D475,products!$A$1:$A$49,0),MATCH(orders!L$1,products!$A$1:$G$1,0))</f>
        <v>12.95</v>
      </c>
      <c r="M47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cm="1">
        <f t="array" ref="F476">_xlfn.XLOOKUP(C476,customers!$A$1:$A1475,customers!$B$1:$B1475,,0)</f>
        <v>Granger Smallcombe</v>
      </c>
      <c r="G476" s="2" t="str">
        <f>IF(_xlfn.XLOOKUP(C476, customers!$A:$A, customers!$C:$C,,0)=0, "", _xlfn.XLOOKUP(C476, customers!$A:$A, customers!$C:$C,,0))</f>
        <v>gsmallcombed6@ucla.edu</v>
      </c>
      <c r="H476" s="2" t="str">
        <f>_xlfn.XLOOKUP(C476, customers!$A:$A, customers!$G:$G,,0)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f>INDEX(products!$A$1:$G$49,MATCH(orders!$D476,products!$A$1:$A$49,0),MATCH(orders!L$1,products!$A$1:$G$1,0))</f>
        <v>31.624999999999996</v>
      </c>
      <c r="M476">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cm="1">
        <f t="array" ref="F477">_xlfn.XLOOKUP(C477,customers!$A$1:$A1476,customers!$B$1:$B1476,,0)</f>
        <v>Daryn Dibley</v>
      </c>
      <c r="G477" s="2" t="str">
        <f>IF(_xlfn.XLOOKUP(C477, customers!$A:$A, customers!$C:$C,,0)=0, "", _xlfn.XLOOKUP(C477, customers!$A:$A, customers!$C:$C,,0))</f>
        <v>ddibleyd7@feedburner.com</v>
      </c>
      <c r="H477" s="2" t="str">
        <f>_xlfn.XLOOKUP(C477, customers!$A:$A, customers!$G:$G,,0)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f>INDEX(products!$A$1:$G$49,MATCH(orders!$D477,products!$A$1:$A$49,0),MATCH(orders!L$1,products!$A$1:$G$1,0))</f>
        <v>4.3650000000000002</v>
      </c>
      <c r="M477">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cm="1">
        <f t="array" ref="F478">_xlfn.XLOOKUP(C478,customers!$A$1:$A1477,customers!$B$1:$B1477,,0)</f>
        <v>Gardy Dimitriou</v>
      </c>
      <c r="G478" s="2" t="str">
        <f>IF(_xlfn.XLOOKUP(C478, customers!$A:$A, customers!$C:$C,,0)=0, "", _xlfn.XLOOKUP(C478, customers!$A:$A, customers!$C:$C,,0))</f>
        <v>gdimitrioud8@chronoengine.com</v>
      </c>
      <c r="H478" s="2" t="str">
        <f>_xlfn.XLOOKUP(C478, customers!$A:$A, customers!$G:$G,,0)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f>INDEX(products!$A$1:$G$49,MATCH(orders!$D478,products!$A$1:$A$49,0),MATCH(orders!L$1,products!$A$1:$G$1,0))</f>
        <v>4.4550000000000001</v>
      </c>
      <c r="M478">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cm="1">
        <f t="array" ref="F479">_xlfn.XLOOKUP(C479,customers!$A$1:$A1478,customers!$B$1:$B1478,,0)</f>
        <v>Fanny Flanagan</v>
      </c>
      <c r="G479" s="2" t="str">
        <f>IF(_xlfn.XLOOKUP(C479, customers!$A:$A, customers!$C:$C,,0)=0, "", _xlfn.XLOOKUP(C479, customers!$A:$A, customers!$C:$C,,0))</f>
        <v>fflanagand9@woothemes.com</v>
      </c>
      <c r="H479" s="2" t="str">
        <f>_xlfn.XLOOKUP(C479, customers!$A:$A, customers!$G:$G,,0)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f>INDEX(products!$A$1:$G$49,MATCH(orders!$D479,products!$A$1:$A$49,0),MATCH(orders!L$1,products!$A$1:$G$1,0))</f>
        <v>4.3650000000000002</v>
      </c>
      <c r="M479">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cm="1">
        <f t="array" ref="F480">_xlfn.XLOOKUP(C480,customers!$A$1:$A1479,customers!$B$1:$B1479,,0)</f>
        <v>Ailey Brash</v>
      </c>
      <c r="G480" s="2" t="str">
        <f>IF(_xlfn.XLOOKUP(C480, customers!$A:$A, customers!$C:$C,,0)=0, "", _xlfn.XLOOKUP(C480, customers!$A:$A, customers!$C:$C,,0))</f>
        <v>abrashda@plala.or.jp</v>
      </c>
      <c r="H480" s="2" t="str">
        <f>_xlfn.XLOOKUP(C480, customers!$A:$A, customers!$G:$G,,0)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f>INDEX(products!$A$1:$G$49,MATCH(orders!$D480,products!$A$1:$A$49,0),MATCH(orders!L$1,products!$A$1:$G$1,0))</f>
        <v>8.9499999999999993</v>
      </c>
      <c r="M480">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cm="1">
        <f t="array" ref="F481">_xlfn.XLOOKUP(C481,customers!$A$1:$A1480,customers!$B$1:$B1480,,0)</f>
        <v>Ailey Brash</v>
      </c>
      <c r="G481" s="2" t="str">
        <f>IF(_xlfn.XLOOKUP(C481, customers!$A:$A, customers!$C:$C,,0)=0, "", _xlfn.XLOOKUP(C481, customers!$A:$A, customers!$C:$C,,0))</f>
        <v>abrashda@plala.or.jp</v>
      </c>
      <c r="H481" s="2" t="str">
        <f>_xlfn.XLOOKUP(C481, customers!$A:$A, customers!$G:$G,,0)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f>INDEX(products!$A$1:$G$49,MATCH(orders!$D481,products!$A$1:$A$49,0),MATCH(orders!L$1,products!$A$1:$G$1,0))</f>
        <v>31.624999999999996</v>
      </c>
      <c r="M481">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cm="1">
        <f t="array" ref="F482">_xlfn.XLOOKUP(C482,customers!$A$1:$A1481,customers!$B$1:$B1481,,0)</f>
        <v>Ailey Brash</v>
      </c>
      <c r="G482" s="2" t="str">
        <f>IF(_xlfn.XLOOKUP(C482, customers!$A:$A, customers!$C:$C,,0)=0, "", _xlfn.XLOOKUP(C482, customers!$A:$A, customers!$C:$C,,0))</f>
        <v>abrashda@plala.or.jp</v>
      </c>
      <c r="H482" s="2" t="str">
        <f>_xlfn.XLOOKUP(C482, customers!$A:$A, customers!$G:$G,,0)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f>INDEX(products!$A$1:$G$49,MATCH(orders!$D482,products!$A$1:$A$49,0),MATCH(orders!L$1,products!$A$1:$G$1,0))</f>
        <v>4.125</v>
      </c>
      <c r="M482">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cm="1">
        <f t="array" ref="F483">_xlfn.XLOOKUP(C483,customers!$A$1:$A1482,customers!$B$1:$B1482,,0)</f>
        <v>Nanny Izhakov</v>
      </c>
      <c r="G483" s="2" t="str">
        <f>IF(_xlfn.XLOOKUP(C483, customers!$A:$A, customers!$C:$C,,0)=0, "", _xlfn.XLOOKUP(C483, customers!$A:$A, customers!$C:$C,,0))</f>
        <v>nizhakovdd@aol.com</v>
      </c>
      <c r="H483" s="2" t="str">
        <f>_xlfn.XLOOKUP(C483, customers!$A:$A, customers!$G:$G,,0)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f>INDEX(products!$A$1:$G$49,MATCH(orders!$D483,products!$A$1:$A$49,0),MATCH(orders!L$1,products!$A$1:$G$1,0))</f>
        <v>11.95</v>
      </c>
      <c r="M483">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cm="1">
        <f t="array" ref="F484">_xlfn.XLOOKUP(C484,customers!$A$1:$A1483,customers!$B$1:$B1483,,0)</f>
        <v>Stanly Keets</v>
      </c>
      <c r="G484" s="2" t="str">
        <f>IF(_xlfn.XLOOKUP(C484, customers!$A:$A, customers!$C:$C,,0)=0, "", _xlfn.XLOOKUP(C484, customers!$A:$A, customers!$C:$C,,0))</f>
        <v>skeetsde@answers.com</v>
      </c>
      <c r="H484" s="2" t="str">
        <f>_xlfn.XLOOKUP(C484, customers!$A:$A, customers!$G:$G,,0)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f>INDEX(products!$A$1:$G$49,MATCH(orders!$D484,products!$A$1:$A$49,0),MATCH(orders!L$1,products!$A$1:$G$1,0))</f>
        <v>27.945</v>
      </c>
      <c r="M484">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cm="1">
        <f t="array" ref="F485">_xlfn.XLOOKUP(C485,customers!$A$1:$A1484,customers!$B$1:$B1484,,0)</f>
        <v>Orion Dyott</v>
      </c>
      <c r="G485" s="2" t="str">
        <f>IF(_xlfn.XLOOKUP(C485, customers!$A:$A, customers!$C:$C,,0)=0, "", _xlfn.XLOOKUP(C485, customers!$A:$A, customers!$C:$C,,0))</f>
        <v/>
      </c>
      <c r="H485" s="2" t="str">
        <f>_xlfn.XLOOKUP(C485, customers!$A:$A, customers!$G:$G,,0)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f>INDEX(products!$A$1:$G$49,MATCH(orders!$D485,products!$A$1:$A$49,0),MATCH(orders!L$1,products!$A$1:$G$1,0))</f>
        <v>29.784999999999997</v>
      </c>
      <c r="M48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cm="1">
        <f t="array" ref="F486">_xlfn.XLOOKUP(C486,customers!$A$1:$A1485,customers!$B$1:$B1485,,0)</f>
        <v>Keefer Cake</v>
      </c>
      <c r="G486" s="2" t="str">
        <f>IF(_xlfn.XLOOKUP(C486, customers!$A:$A, customers!$C:$C,,0)=0, "", _xlfn.XLOOKUP(C486, customers!$A:$A, customers!$C:$C,,0))</f>
        <v>kcakedg@huffingtonpost.com</v>
      </c>
      <c r="H486" s="2" t="str">
        <f>_xlfn.XLOOKUP(C486, customers!$A:$A, customers!$G:$G,,0)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f>INDEX(products!$A$1:$G$49,MATCH(orders!$D486,products!$A$1:$A$49,0),MATCH(orders!L$1,products!$A$1:$G$1,0))</f>
        <v>9.51</v>
      </c>
      <c r="M486">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cm="1">
        <f t="array" ref="F487">_xlfn.XLOOKUP(C487,customers!$A$1:$A1486,customers!$B$1:$B1486,,0)</f>
        <v>Morna Hansed</v>
      </c>
      <c r="G487" s="2" t="str">
        <f>IF(_xlfn.XLOOKUP(C487, customers!$A:$A, customers!$C:$C,,0)=0, "", _xlfn.XLOOKUP(C487, customers!$A:$A, customers!$C:$C,,0))</f>
        <v>mhanseddh@instagram.com</v>
      </c>
      <c r="H487" s="2" t="str">
        <f>_xlfn.XLOOKUP(C487, customers!$A:$A, customers!$G:$G,,0)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f>INDEX(products!$A$1:$G$49,MATCH(orders!$D487,products!$A$1:$A$49,0),MATCH(orders!L$1,products!$A$1:$G$1,0))</f>
        <v>3.5849999999999995</v>
      </c>
      <c r="M487">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cm="1">
        <f t="array" ref="F488">_xlfn.XLOOKUP(C488,customers!$A$1:$A1487,customers!$B$1:$B1487,,0)</f>
        <v>Franny Kienlein</v>
      </c>
      <c r="G488" s="2" t="str">
        <f>IF(_xlfn.XLOOKUP(C488, customers!$A:$A, customers!$C:$C,,0)=0, "", _xlfn.XLOOKUP(C488, customers!$A:$A, customers!$C:$C,,0))</f>
        <v>fkienleindi@trellian.com</v>
      </c>
      <c r="H488" s="2" t="str">
        <f>_xlfn.XLOOKUP(C488, customers!$A:$A, customers!$G:$G,,0)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f>INDEX(products!$A$1:$G$49,MATCH(orders!$D488,products!$A$1:$A$49,0),MATCH(orders!L$1,products!$A$1:$G$1,0))</f>
        <v>8.73</v>
      </c>
      <c r="M488">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cm="1">
        <f t="array" ref="F489">_xlfn.XLOOKUP(C489,customers!$A$1:$A1488,customers!$B$1:$B1488,,0)</f>
        <v>Klarika Egglestone</v>
      </c>
      <c r="G489" s="2" t="str">
        <f>IF(_xlfn.XLOOKUP(C489, customers!$A:$A, customers!$C:$C,,0)=0, "", _xlfn.XLOOKUP(C489, customers!$A:$A, customers!$C:$C,,0))</f>
        <v>kegglestonedj@sphinn.com</v>
      </c>
      <c r="H489" s="2" t="str">
        <f>_xlfn.XLOOKUP(C489, customers!$A:$A, customers!$G:$G,,0)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f>INDEX(products!$A$1:$G$49,MATCH(orders!$D489,products!$A$1:$A$49,0),MATCH(orders!L$1,products!$A$1:$G$1,0))</f>
        <v>12.15</v>
      </c>
      <c r="M489">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cm="1">
        <f t="array" ref="F490">_xlfn.XLOOKUP(C490,customers!$A$1:$A1489,customers!$B$1:$B1489,,0)</f>
        <v>Becky Semkins</v>
      </c>
      <c r="G490" s="2" t="str">
        <f>IF(_xlfn.XLOOKUP(C490, customers!$A:$A, customers!$C:$C,,0)=0, "", _xlfn.XLOOKUP(C490, customers!$A:$A, customers!$C:$C,,0))</f>
        <v>bsemkinsdk@unc.edu</v>
      </c>
      <c r="H490" s="2" t="str">
        <f>_xlfn.XLOOKUP(C490, customers!$A:$A, customers!$G:$G,,0)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f>INDEX(products!$A$1:$G$49,MATCH(orders!$D490,products!$A$1:$A$49,0),MATCH(orders!L$1,products!$A$1:$G$1,0))</f>
        <v>2.9849999999999999</v>
      </c>
      <c r="M490">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cm="1">
        <f t="array" ref="F491">_xlfn.XLOOKUP(C491,customers!$A$1:$A1490,customers!$B$1:$B1490,,0)</f>
        <v>Sean Lorenzetti</v>
      </c>
      <c r="G491" s="2" t="str">
        <f>IF(_xlfn.XLOOKUP(C491, customers!$A:$A, customers!$C:$C,,0)=0, "", _xlfn.XLOOKUP(C491, customers!$A:$A, customers!$C:$C,,0))</f>
        <v>slorenzettidl@is.gd</v>
      </c>
      <c r="H491" s="2" t="str">
        <f>_xlfn.XLOOKUP(C491, customers!$A:$A, customers!$G:$G,,0)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f>INDEX(products!$A$1:$G$49,MATCH(orders!$D491,products!$A$1:$A$49,0),MATCH(orders!L$1,products!$A$1:$G$1,0))</f>
        <v>15.85</v>
      </c>
      <c r="M491">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cm="1">
        <f t="array" ref="F492">_xlfn.XLOOKUP(C492,customers!$A$1:$A1491,customers!$B$1:$B1491,,0)</f>
        <v>Bob Giannazzi</v>
      </c>
      <c r="G492" s="2" t="str">
        <f>IF(_xlfn.XLOOKUP(C492, customers!$A:$A, customers!$C:$C,,0)=0, "", _xlfn.XLOOKUP(C492, customers!$A:$A, customers!$C:$C,,0))</f>
        <v>bgiannazzidm@apple.com</v>
      </c>
      <c r="H492" s="2" t="str">
        <f>_xlfn.XLOOKUP(C492, customers!$A:$A, customers!$G:$G,,0)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f>INDEX(products!$A$1:$G$49,MATCH(orders!$D492,products!$A$1:$A$49,0),MATCH(orders!L$1,products!$A$1:$G$1,0))</f>
        <v>7.77</v>
      </c>
      <c r="M492">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cm="1">
        <f t="array" ref="F493">_xlfn.XLOOKUP(C493,customers!$A$1:$A1492,customers!$B$1:$B1492,,0)</f>
        <v>Kendra Backshell</v>
      </c>
      <c r="G493" s="2" t="str">
        <f>IF(_xlfn.XLOOKUP(C493, customers!$A:$A, customers!$C:$C,,0)=0, "", _xlfn.XLOOKUP(C493, customers!$A:$A, customers!$C:$C,,0))</f>
        <v/>
      </c>
      <c r="H493" s="2" t="str">
        <f>_xlfn.XLOOKUP(C493, customers!$A:$A, customers!$G:$G,,0)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f>INDEX(products!$A$1:$G$49,MATCH(orders!$D493,products!$A$1:$A$49,0),MATCH(orders!L$1,products!$A$1:$G$1,0))</f>
        <v>3.8849999999999998</v>
      </c>
      <c r="M493">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cm="1">
        <f t="array" ref="F494">_xlfn.XLOOKUP(C494,customers!$A$1:$A1493,customers!$B$1:$B1493,,0)</f>
        <v>Uriah Lethbrig</v>
      </c>
      <c r="G494" s="2" t="str">
        <f>IF(_xlfn.XLOOKUP(C494, customers!$A:$A, customers!$C:$C,,0)=0, "", _xlfn.XLOOKUP(C494, customers!$A:$A, customers!$C:$C,,0))</f>
        <v>ulethbrigdo@hc360.com</v>
      </c>
      <c r="H494" s="2" t="str">
        <f>_xlfn.XLOOKUP(C494, customers!$A:$A, customers!$G:$G,,0)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f>INDEX(products!$A$1:$G$49,MATCH(orders!$D494,products!$A$1:$A$49,0),MATCH(orders!L$1,products!$A$1:$G$1,0))</f>
        <v>4.125</v>
      </c>
      <c r="M494">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cm="1">
        <f t="array" ref="F495">_xlfn.XLOOKUP(C495,customers!$A$1:$A1494,customers!$B$1:$B1494,,0)</f>
        <v>Sky Farnish</v>
      </c>
      <c r="G495" s="2" t="str">
        <f>IF(_xlfn.XLOOKUP(C495, customers!$A:$A, customers!$C:$C,,0)=0, "", _xlfn.XLOOKUP(C495, customers!$A:$A, customers!$C:$C,,0))</f>
        <v>sfarnishdp@dmoz.org</v>
      </c>
      <c r="H495" s="2" t="str">
        <f>_xlfn.XLOOKUP(C495, customers!$A:$A, customers!$G:$G,,0)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f>INDEX(products!$A$1:$G$49,MATCH(orders!$D495,products!$A$1:$A$49,0),MATCH(orders!L$1,products!$A$1:$G$1,0))</f>
        <v>5.97</v>
      </c>
      <c r="M49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cm="1">
        <f t="array" ref="F496">_xlfn.XLOOKUP(C496,customers!$A$1:$A1495,customers!$B$1:$B1495,,0)</f>
        <v>Felicia Jecock</v>
      </c>
      <c r="G496" s="2" t="str">
        <f>IF(_xlfn.XLOOKUP(C496, customers!$A:$A, customers!$C:$C,,0)=0, "", _xlfn.XLOOKUP(C496, customers!$A:$A, customers!$C:$C,,0))</f>
        <v>fjecockdq@unicef.org</v>
      </c>
      <c r="H496" s="2" t="str">
        <f>_xlfn.XLOOKUP(C496, customers!$A:$A, customers!$G:$G,,0)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f>INDEX(products!$A$1:$G$49,MATCH(orders!$D496,products!$A$1:$A$49,0),MATCH(orders!L$1,products!$A$1:$G$1,0))</f>
        <v>15.85</v>
      </c>
      <c r="M496">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cm="1">
        <f t="array" ref="F497">_xlfn.XLOOKUP(C497,customers!$A$1:$A1496,customers!$B$1:$B1496,,0)</f>
        <v>Currey MacAllister</v>
      </c>
      <c r="G497" s="2" t="str">
        <f>IF(_xlfn.XLOOKUP(C497, customers!$A:$A, customers!$C:$C,,0)=0, "", _xlfn.XLOOKUP(C497, customers!$A:$A, customers!$C:$C,,0))</f>
        <v/>
      </c>
      <c r="H497" s="2" t="str">
        <f>_xlfn.XLOOKUP(C497, customers!$A:$A, customers!$G:$G,,0)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f>INDEX(products!$A$1:$G$49,MATCH(orders!$D497,products!$A$1:$A$49,0),MATCH(orders!L$1,products!$A$1:$G$1,0))</f>
        <v>15.85</v>
      </c>
      <c r="M497">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cm="1">
        <f t="array" ref="F498">_xlfn.XLOOKUP(C498,customers!$A$1:$A1497,customers!$B$1:$B1497,,0)</f>
        <v>Hamlen Pallister</v>
      </c>
      <c r="G498" s="2" t="str">
        <f>IF(_xlfn.XLOOKUP(C498, customers!$A:$A, customers!$C:$C,,0)=0, "", _xlfn.XLOOKUP(C498, customers!$A:$A, customers!$C:$C,,0))</f>
        <v>hpallisterds@ning.com</v>
      </c>
      <c r="H498" s="2" t="str">
        <f>_xlfn.XLOOKUP(C498, customers!$A:$A, customers!$G:$G,,0)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f>INDEX(products!$A$1:$G$49,MATCH(orders!$D498,products!$A$1:$A$49,0),MATCH(orders!L$1,products!$A$1:$G$1,0))</f>
        <v>3.645</v>
      </c>
      <c r="M498">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cm="1">
        <f t="array" ref="F499">_xlfn.XLOOKUP(C499,customers!$A$1:$A1498,customers!$B$1:$B1498,,0)</f>
        <v>Chantal Mersh</v>
      </c>
      <c r="G499" s="2" t="str">
        <f>IF(_xlfn.XLOOKUP(C499, customers!$A:$A, customers!$C:$C,,0)=0, "", _xlfn.XLOOKUP(C499, customers!$A:$A, customers!$C:$C,,0))</f>
        <v>cmershdt@drupal.org</v>
      </c>
      <c r="H499" s="2" t="str">
        <f>_xlfn.XLOOKUP(C499, customers!$A:$A, customers!$G:$G,,0)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f>INDEX(products!$A$1:$G$49,MATCH(orders!$D499,products!$A$1:$A$49,0),MATCH(orders!L$1,products!$A$1:$G$1,0))</f>
        <v>9.9499999999999993</v>
      </c>
      <c r="M499">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cm="1">
        <f t="array" ref="F500">_xlfn.XLOOKUP(C500,customers!$A$1:$A1499,customers!$B$1:$B1499,,0)</f>
        <v>Marja Urion</v>
      </c>
      <c r="G500" s="2" t="str">
        <f>IF(_xlfn.XLOOKUP(C500, customers!$A:$A, customers!$C:$C,,0)=0, "", _xlfn.XLOOKUP(C500, customers!$A:$A, customers!$C:$C,,0))</f>
        <v>murione5@alexa.com</v>
      </c>
      <c r="H500" s="2" t="str">
        <f>_xlfn.XLOOKUP(C500, customers!$A:$A, customers!$G:$G,,0)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f>INDEX(products!$A$1:$G$49,MATCH(orders!$D500,products!$A$1:$A$49,0),MATCH(orders!L$1,products!$A$1:$G$1,0))</f>
        <v>9.9499999999999993</v>
      </c>
      <c r="M500">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cm="1">
        <f t="array" ref="F501">_xlfn.XLOOKUP(C501,customers!$A$1:$A1500,customers!$B$1:$B1500,,0)</f>
        <v>Malynda Purbrick</v>
      </c>
      <c r="G501" s="2" t="str">
        <f>IF(_xlfn.XLOOKUP(C501, customers!$A:$A, customers!$C:$C,,0)=0, "", _xlfn.XLOOKUP(C501, customers!$A:$A, customers!$C:$C,,0))</f>
        <v/>
      </c>
      <c r="H501" s="2" t="str">
        <f>_xlfn.XLOOKUP(C501, customers!$A:$A, customers!$G:$G,,0)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f>INDEX(products!$A$1:$G$49,MATCH(orders!$D501,products!$A$1:$A$49,0),MATCH(orders!L$1,products!$A$1:$G$1,0))</f>
        <v>2.6849999999999996</v>
      </c>
      <c r="M501">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cm="1">
        <f t="array" ref="F502">_xlfn.XLOOKUP(C502,customers!$A$1:$A1501,customers!$B$1:$B1501,,0)</f>
        <v>Alf Housaman</v>
      </c>
      <c r="G502" s="2" t="str">
        <f>IF(_xlfn.XLOOKUP(C502, customers!$A:$A, customers!$C:$C,,0)=0, "", _xlfn.XLOOKUP(C502, customers!$A:$A, customers!$C:$C,,0))</f>
        <v/>
      </c>
      <c r="H502" s="2" t="str">
        <f>_xlfn.XLOOKUP(C502, customers!$A:$A, customers!$G:$G,,0)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f>INDEX(products!$A$1:$G$49,MATCH(orders!$D502,products!$A$1:$A$49,0),MATCH(orders!L$1,products!$A$1:$G$1,0))</f>
        <v>11.95</v>
      </c>
      <c r="M502">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cm="1">
        <f t="array" ref="F503">_xlfn.XLOOKUP(C503,customers!$A$1:$A1502,customers!$B$1:$B1502,,0)</f>
        <v>Gladi Ducker</v>
      </c>
      <c r="G503" s="2" t="str">
        <f>IF(_xlfn.XLOOKUP(C503, customers!$A:$A, customers!$C:$C,,0)=0, "", _xlfn.XLOOKUP(C503, customers!$A:$A, customers!$C:$C,,0))</f>
        <v>gduckerdx@patch.com</v>
      </c>
      <c r="H503" s="2" t="str">
        <f>_xlfn.XLOOKUP(C503, customers!$A:$A, customers!$G:$G,,0)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f>INDEX(products!$A$1:$G$49,MATCH(orders!$D503,products!$A$1:$A$49,0),MATCH(orders!L$1,products!$A$1:$G$1,0))</f>
        <v>2.9849999999999999</v>
      </c>
      <c r="M503">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cm="1">
        <f t="array" ref="F504">_xlfn.XLOOKUP(C504,customers!$A$1:$A1503,customers!$B$1:$B1503,,0)</f>
        <v>Gladi Ducker</v>
      </c>
      <c r="G504" s="2" t="str">
        <f>IF(_xlfn.XLOOKUP(C504, customers!$A:$A, customers!$C:$C,,0)=0, "", _xlfn.XLOOKUP(C504, customers!$A:$A, customers!$C:$C,,0))</f>
        <v>gduckerdx@patch.com</v>
      </c>
      <c r="H504" s="2" t="str">
        <f>_xlfn.XLOOKUP(C504, customers!$A:$A, customers!$G:$G,,0)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f>INDEX(products!$A$1:$G$49,MATCH(orders!$D504,products!$A$1:$A$49,0),MATCH(orders!L$1,products!$A$1:$G$1,0))</f>
        <v>4.125</v>
      </c>
      <c r="M504">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cm="1">
        <f t="array" ref="F505">_xlfn.XLOOKUP(C505,customers!$A$1:$A1504,customers!$B$1:$B1504,,0)</f>
        <v>Gladi Ducker</v>
      </c>
      <c r="G505" s="2" t="str">
        <f>IF(_xlfn.XLOOKUP(C505, customers!$A:$A, customers!$C:$C,,0)=0, "", _xlfn.XLOOKUP(C505, customers!$A:$A, customers!$C:$C,,0))</f>
        <v>gduckerdx@patch.com</v>
      </c>
      <c r="H505" s="2" t="str">
        <f>_xlfn.XLOOKUP(C505, customers!$A:$A, customers!$G:$G,,0)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f>INDEX(products!$A$1:$G$49,MATCH(orders!$D505,products!$A$1:$A$49,0),MATCH(orders!L$1,products!$A$1:$G$1,0))</f>
        <v>12.95</v>
      </c>
      <c r="M50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cm="1">
        <f t="array" ref="F506">_xlfn.XLOOKUP(C506,customers!$A$1:$A1505,customers!$B$1:$B1505,,0)</f>
        <v>Gladi Ducker</v>
      </c>
      <c r="G506" s="2" t="str">
        <f>IF(_xlfn.XLOOKUP(C506, customers!$A:$A, customers!$C:$C,,0)=0, "", _xlfn.XLOOKUP(C506, customers!$A:$A, customers!$C:$C,,0))</f>
        <v>gduckerdx@patch.com</v>
      </c>
      <c r="H506" s="2" t="str">
        <f>_xlfn.XLOOKUP(C506, customers!$A:$A, customers!$G:$G,,0)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f>INDEX(products!$A$1:$G$49,MATCH(orders!$D506,products!$A$1:$A$49,0),MATCH(orders!L$1,products!$A$1:$G$1,0))</f>
        <v>4.7549999999999999</v>
      </c>
      <c r="M506">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cm="1">
        <f t="array" ref="F507">_xlfn.XLOOKUP(C507,customers!$A$1:$A1506,customers!$B$1:$B1506,,0)</f>
        <v>Wain Stearley</v>
      </c>
      <c r="G507" s="2" t="str">
        <f>IF(_xlfn.XLOOKUP(C507, customers!$A:$A, customers!$C:$C,,0)=0, "", _xlfn.XLOOKUP(C507, customers!$A:$A, customers!$C:$C,,0))</f>
        <v>wstearleye1@census.gov</v>
      </c>
      <c r="H507" s="2" t="str">
        <f>_xlfn.XLOOKUP(C507, customers!$A:$A, customers!$G:$G,,0)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f>INDEX(products!$A$1:$G$49,MATCH(orders!$D507,products!$A$1:$A$49,0),MATCH(orders!L$1,products!$A$1:$G$1,0))</f>
        <v>4.3650000000000002</v>
      </c>
      <c r="M507">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cm="1">
        <f t="array" ref="F508">_xlfn.XLOOKUP(C508,customers!$A$1:$A1507,customers!$B$1:$B1507,,0)</f>
        <v>Diane-marie Wincer</v>
      </c>
      <c r="G508" s="2" t="str">
        <f>IF(_xlfn.XLOOKUP(C508, customers!$A:$A, customers!$C:$C,,0)=0, "", _xlfn.XLOOKUP(C508, customers!$A:$A, customers!$C:$C,,0))</f>
        <v>dwincere2@marriott.com</v>
      </c>
      <c r="H508" s="2" t="str">
        <f>_xlfn.XLOOKUP(C508, customers!$A:$A, customers!$G:$G,,0)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f>INDEX(products!$A$1:$G$49,MATCH(orders!$D508,products!$A$1:$A$49,0),MATCH(orders!L$1,products!$A$1:$G$1,0))</f>
        <v>12.95</v>
      </c>
      <c r="M508">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cm="1">
        <f t="array" ref="F509">_xlfn.XLOOKUP(C509,customers!$A$1:$A1508,customers!$B$1:$B1508,,0)</f>
        <v>Perry Lyfield</v>
      </c>
      <c r="G509" s="2" t="str">
        <f>IF(_xlfn.XLOOKUP(C509, customers!$A:$A, customers!$C:$C,,0)=0, "", _xlfn.XLOOKUP(C509, customers!$A:$A, customers!$C:$C,,0))</f>
        <v>plyfielde3@baidu.com</v>
      </c>
      <c r="H509" s="2" t="str">
        <f>_xlfn.XLOOKUP(C509, customers!$A:$A, customers!$G:$G,,0)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f>INDEX(products!$A$1:$G$49,MATCH(orders!$D509,products!$A$1:$A$49,0),MATCH(orders!L$1,products!$A$1:$G$1,0))</f>
        <v>29.784999999999997</v>
      </c>
      <c r="M509">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cm="1">
        <f t="array" ref="F510">_xlfn.XLOOKUP(C510,customers!$A$1:$A1509,customers!$B$1:$B1509,,0)</f>
        <v>Heall Perris</v>
      </c>
      <c r="G510" s="2" t="str">
        <f>IF(_xlfn.XLOOKUP(C510, customers!$A:$A, customers!$C:$C,,0)=0, "", _xlfn.XLOOKUP(C510, customers!$A:$A, customers!$C:$C,,0))</f>
        <v>hperrise4@studiopress.com</v>
      </c>
      <c r="H510" s="2" t="str">
        <f>_xlfn.XLOOKUP(C510, customers!$A:$A, customers!$G:$G,,0)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f>INDEX(products!$A$1:$G$49,MATCH(orders!$D510,products!$A$1:$A$49,0),MATCH(orders!L$1,products!$A$1:$G$1,0))</f>
        <v>7.77</v>
      </c>
      <c r="M510">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cm="1">
        <f t="array" ref="F511">_xlfn.XLOOKUP(C511,customers!$A$1:$A1510,customers!$B$1:$B1510,,0)</f>
        <v>Marja Urion</v>
      </c>
      <c r="G511" s="2" t="str">
        <f>IF(_xlfn.XLOOKUP(C511, customers!$A:$A, customers!$C:$C,,0)=0, "", _xlfn.XLOOKUP(C511, customers!$A:$A, customers!$C:$C,,0))</f>
        <v>murione5@alexa.com</v>
      </c>
      <c r="H511" s="2" t="str">
        <f>_xlfn.XLOOKUP(C511, customers!$A:$A, customers!$G:$G,,0)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f>INDEX(products!$A$1:$G$49,MATCH(orders!$D511,products!$A$1:$A$49,0),MATCH(orders!L$1,products!$A$1:$G$1,0))</f>
        <v>9.9499999999999993</v>
      </c>
      <c r="M511">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cm="1">
        <f t="array" ref="F512">_xlfn.XLOOKUP(C512,customers!$A$1:$A1511,customers!$B$1:$B1511,,0)</f>
        <v>Camellia Kid</v>
      </c>
      <c r="G512" s="2" t="str">
        <f>IF(_xlfn.XLOOKUP(C512, customers!$A:$A, customers!$C:$C,,0)=0, "", _xlfn.XLOOKUP(C512, customers!$A:$A, customers!$C:$C,,0))</f>
        <v>ckide6@narod.ru</v>
      </c>
      <c r="H512" s="2" t="str">
        <f>_xlfn.XLOOKUP(C512, customers!$A:$A, customers!$G:$G,,0)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f>INDEX(products!$A$1:$G$49,MATCH(orders!$D512,products!$A$1:$A$49,0),MATCH(orders!L$1,products!$A$1:$G$1,0))</f>
        <v>3.5849999999999995</v>
      </c>
      <c r="M512">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cm="1">
        <f t="array" ref="F513">_xlfn.XLOOKUP(C513,customers!$A$1:$A1512,customers!$B$1:$B1512,,0)</f>
        <v>Carolann Beine</v>
      </c>
      <c r="G513" s="2" t="str">
        <f>IF(_xlfn.XLOOKUP(C513, customers!$A:$A, customers!$C:$C,,0)=0, "", _xlfn.XLOOKUP(C513, customers!$A:$A, customers!$C:$C,,0))</f>
        <v>cbeinee7@xinhuanet.com</v>
      </c>
      <c r="H513" s="2" t="str">
        <f>_xlfn.XLOOKUP(C513, customers!$A:$A, customers!$G:$G,,0)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f>INDEX(products!$A$1:$G$49,MATCH(orders!$D513,products!$A$1:$A$49,0),MATCH(orders!L$1,products!$A$1:$G$1,0))</f>
        <v>3.375</v>
      </c>
      <c r="M513">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cm="1">
        <f t="array" ref="F514">_xlfn.XLOOKUP(C514,customers!$A$1:$A1513,customers!$B$1:$B1513,,0)</f>
        <v>Celia Bakeup</v>
      </c>
      <c r="G514" s="2" t="str">
        <f>IF(_xlfn.XLOOKUP(C514, customers!$A:$A, customers!$C:$C,,0)=0, "", _xlfn.XLOOKUP(C514, customers!$A:$A, customers!$C:$C,,0))</f>
        <v>cbakeupe8@globo.com</v>
      </c>
      <c r="H514" s="2" t="str">
        <f>_xlfn.XLOOKUP(C514, customers!$A:$A, customers!$G:$G,,0)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f>INDEX(products!$A$1:$G$49,MATCH(orders!$D514,products!$A$1:$A$49,0),MATCH(orders!L$1,products!$A$1:$G$1,0))</f>
        <v>15.85</v>
      </c>
      <c r="M514">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cm="1">
        <f t="array" ref="F515">_xlfn.XLOOKUP(C515,customers!$A$1:$A1514,customers!$B$1:$B1514,,0)</f>
        <v>Nataniel Helkin</v>
      </c>
      <c r="G515" s="2" t="str">
        <f>IF(_xlfn.XLOOKUP(C515, customers!$A:$A, customers!$C:$C,,0)=0, "", _xlfn.XLOOKUP(C515, customers!$A:$A, customers!$C:$C,,0))</f>
        <v>nhelkine9@example.com</v>
      </c>
      <c r="H515" s="2" t="str">
        <f>_xlfn.XLOOKUP(C515, customers!$A:$A, customers!$G:$G,,0)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f>INDEX(products!$A$1:$G$49,MATCH(orders!$D515,products!$A$1:$A$49,0),MATCH(orders!L$1,products!$A$1:$G$1,0))</f>
        <v>15.85</v>
      </c>
      <c r="M515">
        <f t="shared" ref="M515:M578" si="24">L515*E515</f>
        <v>79.25</v>
      </c>
      <c r="N515" t="str">
        <f t="shared" ref="N515:N578" si="25">IF(I515="Rob", "Robusta", IF(I515="Exc","Excelsa",IF(I515="Ara","Arabica", 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cm="1">
        <f t="array" ref="F516">_xlfn.XLOOKUP(C516,customers!$A$1:$A1515,customers!$B$1:$B1515,,0)</f>
        <v>Pippo Witherington</v>
      </c>
      <c r="G516" s="2" t="str">
        <f>IF(_xlfn.XLOOKUP(C516, customers!$A:$A, customers!$C:$C,,0)=0, "", _xlfn.XLOOKUP(C516, customers!$A:$A, customers!$C:$C,,0))</f>
        <v>pwitheringtonea@networkadvertising.org</v>
      </c>
      <c r="H516" s="2" t="str">
        <f>_xlfn.XLOOKUP(C516, customers!$A:$A, customers!$G:$G,,0)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f>INDEX(products!$A$1:$G$49,MATCH(orders!$D516,products!$A$1:$A$49,0),MATCH(orders!L$1,products!$A$1:$G$1,0))</f>
        <v>4.3650000000000002</v>
      </c>
      <c r="M516">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cm="1">
        <f t="array" ref="F517">_xlfn.XLOOKUP(C517,customers!$A$1:$A1516,customers!$B$1:$B1516,,0)</f>
        <v>Tildie Tilzey</v>
      </c>
      <c r="G517" s="2" t="str">
        <f>IF(_xlfn.XLOOKUP(C517, customers!$A:$A, customers!$C:$C,,0)=0, "", _xlfn.XLOOKUP(C517, customers!$A:$A, customers!$C:$C,,0))</f>
        <v>ttilzeyeb@hostgator.com</v>
      </c>
      <c r="H517" s="2" t="str">
        <f>_xlfn.XLOOKUP(C517, customers!$A:$A, customers!$G:$G,,0)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f>INDEX(products!$A$1:$G$49,MATCH(orders!$D517,products!$A$1:$A$49,0),MATCH(orders!L$1,products!$A$1:$G$1,0))</f>
        <v>7.169999999999999</v>
      </c>
      <c r="M517">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cm="1">
        <f t="array" ref="F518">_xlfn.XLOOKUP(C518,customers!$A$1:$A1517,customers!$B$1:$B1517,,0)</f>
        <v>Cindra Burling</v>
      </c>
      <c r="G518" s="2" t="str">
        <f>IF(_xlfn.XLOOKUP(C518, customers!$A:$A, customers!$C:$C,,0)=0, "", _xlfn.XLOOKUP(C518, customers!$A:$A, customers!$C:$C,,0))</f>
        <v/>
      </c>
      <c r="H518" s="2" t="str">
        <f>_xlfn.XLOOKUP(C518, customers!$A:$A, customers!$G:$G,,0)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f>INDEX(products!$A$1:$G$49,MATCH(orders!$D518,products!$A$1:$A$49,0),MATCH(orders!L$1,products!$A$1:$G$1,0))</f>
        <v>20.584999999999997</v>
      </c>
      <c r="M518">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cm="1">
        <f t="array" ref="F519">_xlfn.XLOOKUP(C519,customers!$A$1:$A1518,customers!$B$1:$B1518,,0)</f>
        <v>Channa Belamy</v>
      </c>
      <c r="G519" s="2" t="str">
        <f>IF(_xlfn.XLOOKUP(C519, customers!$A:$A, customers!$C:$C,,0)=0, "", _xlfn.XLOOKUP(C519, customers!$A:$A, customers!$C:$C,,0))</f>
        <v/>
      </c>
      <c r="H519" s="2" t="str">
        <f>_xlfn.XLOOKUP(C519, customers!$A:$A, customers!$G:$G,,0)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f>INDEX(products!$A$1:$G$49,MATCH(orders!$D519,products!$A$1:$A$49,0),MATCH(orders!L$1,products!$A$1:$G$1,0))</f>
        <v>3.8849999999999998</v>
      </c>
      <c r="M519">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cm="1">
        <f t="array" ref="F520">_xlfn.XLOOKUP(C520,customers!$A$1:$A1519,customers!$B$1:$B1519,,0)</f>
        <v>Karl Imorts</v>
      </c>
      <c r="G520" s="2" t="str">
        <f>IF(_xlfn.XLOOKUP(C520, customers!$A:$A, customers!$C:$C,,0)=0, "", _xlfn.XLOOKUP(C520, customers!$A:$A, customers!$C:$C,,0))</f>
        <v>kimortsee@alexa.com</v>
      </c>
      <c r="H520" s="2" t="str">
        <f>_xlfn.XLOOKUP(C520, customers!$A:$A, customers!$G:$G,,0)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f>INDEX(products!$A$1:$G$49,MATCH(orders!$D520,products!$A$1:$A$49,0),MATCH(orders!L$1,products!$A$1:$G$1,0))</f>
        <v>27.945</v>
      </c>
      <c r="M520">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cm="1">
        <f t="array" ref="F521">_xlfn.XLOOKUP(C521,customers!$A$1:$A1520,customers!$B$1:$B1520,,0)</f>
        <v>Marja Urion</v>
      </c>
      <c r="G521" s="2" t="str">
        <f>IF(_xlfn.XLOOKUP(C521, customers!$A:$A, customers!$C:$C,,0)=0, "", _xlfn.XLOOKUP(C521, customers!$A:$A, customers!$C:$C,,0))</f>
        <v>murione5@alexa.com</v>
      </c>
      <c r="H521" s="2" t="str">
        <f>_xlfn.XLOOKUP(C521, customers!$A:$A, customers!$G:$G,,0)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f>INDEX(products!$A$1:$G$49,MATCH(orders!$D521,products!$A$1:$A$49,0),MATCH(orders!L$1,products!$A$1:$G$1,0))</f>
        <v>5.97</v>
      </c>
      <c r="M521">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cm="1">
        <f t="array" ref="F522">_xlfn.XLOOKUP(C522,customers!$A$1:$A1521,customers!$B$1:$B1521,,0)</f>
        <v>Mag Armistead</v>
      </c>
      <c r="G522" s="2" t="str">
        <f>IF(_xlfn.XLOOKUP(C522, customers!$A:$A, customers!$C:$C,,0)=0, "", _xlfn.XLOOKUP(C522, customers!$A:$A, customers!$C:$C,,0))</f>
        <v>marmisteadeg@blogtalkradio.com</v>
      </c>
      <c r="H522" s="2" t="str">
        <f>_xlfn.XLOOKUP(C522, customers!$A:$A, customers!$G:$G,,0)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f>INDEX(products!$A$1:$G$49,MATCH(orders!$D522,products!$A$1:$A$49,0),MATCH(orders!L$1,products!$A$1:$G$1,0))</f>
        <v>3.8849999999999998</v>
      </c>
      <c r="M522">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cm="1">
        <f t="array" ref="F523">_xlfn.XLOOKUP(C523,customers!$A$1:$A1522,customers!$B$1:$B1522,,0)</f>
        <v>Mag Armistead</v>
      </c>
      <c r="G523" s="2" t="str">
        <f>IF(_xlfn.XLOOKUP(C523, customers!$A:$A, customers!$C:$C,,0)=0, "", _xlfn.XLOOKUP(C523, customers!$A:$A, customers!$C:$C,,0))</f>
        <v>marmisteadeg@blogtalkradio.com</v>
      </c>
      <c r="H523" s="2" t="str">
        <f>_xlfn.XLOOKUP(C523, customers!$A:$A, customers!$G:$G,,0)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f>INDEX(products!$A$1:$G$49,MATCH(orders!$D523,products!$A$1:$A$49,0),MATCH(orders!L$1,products!$A$1:$G$1,0))</f>
        <v>9.9499999999999993</v>
      </c>
      <c r="M523">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cm="1">
        <f t="array" ref="F524">_xlfn.XLOOKUP(C524,customers!$A$1:$A1523,customers!$B$1:$B1523,,0)</f>
        <v>Vasili Upstone</v>
      </c>
      <c r="G524" s="2" t="str">
        <f>IF(_xlfn.XLOOKUP(C524, customers!$A:$A, customers!$C:$C,,0)=0, "", _xlfn.XLOOKUP(C524, customers!$A:$A, customers!$C:$C,,0))</f>
        <v>vupstoneei@google.pl</v>
      </c>
      <c r="H524" s="2" t="str">
        <f>_xlfn.XLOOKUP(C524, customers!$A:$A, customers!$G:$G,,0)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f>INDEX(products!$A$1:$G$49,MATCH(orders!$D524,products!$A$1:$A$49,0),MATCH(orders!L$1,products!$A$1:$G$1,0))</f>
        <v>5.97</v>
      </c>
      <c r="M524">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cm="1">
        <f t="array" ref="F525">_xlfn.XLOOKUP(C525,customers!$A$1:$A1524,customers!$B$1:$B1524,,0)</f>
        <v>Berty Beelby</v>
      </c>
      <c r="G525" s="2" t="str">
        <f>IF(_xlfn.XLOOKUP(C525, customers!$A:$A, customers!$C:$C,,0)=0, "", _xlfn.XLOOKUP(C525, customers!$A:$A, customers!$C:$C,,0))</f>
        <v>bbeelbyej@rediff.com</v>
      </c>
      <c r="H525" s="2" t="str">
        <f>_xlfn.XLOOKUP(C525, customers!$A:$A, customers!$G:$G,,0)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f>INDEX(products!$A$1:$G$49,MATCH(orders!$D525,products!$A$1:$A$49,0),MATCH(orders!L$1,products!$A$1:$G$1,0))</f>
        <v>29.784999999999997</v>
      </c>
      <c r="M52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cm="1">
        <f t="array" ref="F526">_xlfn.XLOOKUP(C526,customers!$A$1:$A1525,customers!$B$1:$B1525,,0)</f>
        <v>Erny Stenyng</v>
      </c>
      <c r="G526" s="2" t="str">
        <f>IF(_xlfn.XLOOKUP(C526, customers!$A:$A, customers!$C:$C,,0)=0, "", _xlfn.XLOOKUP(C526, customers!$A:$A, customers!$C:$C,,0))</f>
        <v/>
      </c>
      <c r="H526" s="2" t="str">
        <f>_xlfn.XLOOKUP(C526, customers!$A:$A, customers!$G:$G,,0)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f>INDEX(products!$A$1:$G$49,MATCH(orders!$D526,products!$A$1:$A$49,0),MATCH(orders!L$1,products!$A$1:$G$1,0))</f>
        <v>36.454999999999998</v>
      </c>
      <c r="M526">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cm="1">
        <f t="array" ref="F527">_xlfn.XLOOKUP(C527,customers!$A$1:$A1526,customers!$B$1:$B1526,,0)</f>
        <v>Edin Yantsurev</v>
      </c>
      <c r="G527" s="2" t="str">
        <f>IF(_xlfn.XLOOKUP(C527, customers!$A:$A, customers!$C:$C,,0)=0, "", _xlfn.XLOOKUP(C527, customers!$A:$A, customers!$C:$C,,0))</f>
        <v/>
      </c>
      <c r="H527" s="2" t="str">
        <f>_xlfn.XLOOKUP(C527, customers!$A:$A, customers!$G:$G,,0)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f>INDEX(products!$A$1:$G$49,MATCH(orders!$D527,products!$A$1:$A$49,0),MATCH(orders!L$1,products!$A$1:$G$1,0))</f>
        <v>2.6849999999999996</v>
      </c>
      <c r="M527">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cm="1">
        <f t="array" ref="F528">_xlfn.XLOOKUP(C528,customers!$A$1:$A1527,customers!$B$1:$B1527,,0)</f>
        <v>Webb Speechly</v>
      </c>
      <c r="G528" s="2" t="str">
        <f>IF(_xlfn.XLOOKUP(C528, customers!$A:$A, customers!$C:$C,,0)=0, "", _xlfn.XLOOKUP(C528, customers!$A:$A, customers!$C:$C,,0))</f>
        <v>wspeechlyem@amazon.com</v>
      </c>
      <c r="H528" s="2" t="str">
        <f>_xlfn.XLOOKUP(C528, customers!$A:$A, customers!$G:$G,,0)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f>INDEX(products!$A$1:$G$49,MATCH(orders!$D528,products!$A$1:$A$49,0),MATCH(orders!L$1,products!$A$1:$G$1,0))</f>
        <v>31.624999999999996</v>
      </c>
      <c r="M528">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cm="1">
        <f t="array" ref="F529">_xlfn.XLOOKUP(C529,customers!$A$1:$A1528,customers!$B$1:$B1528,,0)</f>
        <v>Irvine Phillpot</v>
      </c>
      <c r="G529" s="2" t="str">
        <f>IF(_xlfn.XLOOKUP(C529, customers!$A:$A, customers!$C:$C,,0)=0, "", _xlfn.XLOOKUP(C529, customers!$A:$A, customers!$C:$C,,0))</f>
        <v>iphillpoten@buzzfeed.com</v>
      </c>
      <c r="H529" s="2" t="str">
        <f>_xlfn.XLOOKUP(C529, customers!$A:$A, customers!$G:$G,,0)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f>INDEX(products!$A$1:$G$49,MATCH(orders!$D529,products!$A$1:$A$49,0),MATCH(orders!L$1,products!$A$1:$G$1,0))</f>
        <v>8.25</v>
      </c>
      <c r="M529">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cm="1">
        <f t="array" ref="F530">_xlfn.XLOOKUP(C530,customers!$A$1:$A1529,customers!$B$1:$B1529,,0)</f>
        <v>Lem Pennacci</v>
      </c>
      <c r="G530" s="2" t="str">
        <f>IF(_xlfn.XLOOKUP(C530, customers!$A:$A, customers!$C:$C,,0)=0, "", _xlfn.XLOOKUP(C530, customers!$A:$A, customers!$C:$C,,0))</f>
        <v>lpennaccieo@statcounter.com</v>
      </c>
      <c r="H530" s="2" t="str">
        <f>_xlfn.XLOOKUP(C530, customers!$A:$A, customers!$G:$G,,0)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f>INDEX(products!$A$1:$G$49,MATCH(orders!$D530,products!$A$1:$A$49,0),MATCH(orders!L$1,products!$A$1:$G$1,0))</f>
        <v>8.91</v>
      </c>
      <c r="M530">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cm="1">
        <f t="array" ref="F531">_xlfn.XLOOKUP(C531,customers!$A$1:$A1530,customers!$B$1:$B1530,,0)</f>
        <v>Starr Arpin</v>
      </c>
      <c r="G531" s="2" t="str">
        <f>IF(_xlfn.XLOOKUP(C531, customers!$A:$A, customers!$C:$C,,0)=0, "", _xlfn.XLOOKUP(C531, customers!$A:$A, customers!$C:$C,,0))</f>
        <v>sarpinep@moonfruit.com</v>
      </c>
      <c r="H531" s="2" t="str">
        <f>_xlfn.XLOOKUP(C531, customers!$A:$A, customers!$G:$G,,0)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f>INDEX(products!$A$1:$G$49,MATCH(orders!$D531,products!$A$1:$A$49,0),MATCH(orders!L$1,products!$A$1:$G$1,0))</f>
        <v>9.9499999999999993</v>
      </c>
      <c r="M531">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cm="1">
        <f t="array" ref="F532">_xlfn.XLOOKUP(C532,customers!$A$1:$A1531,customers!$B$1:$B1531,,0)</f>
        <v>Donny Fries</v>
      </c>
      <c r="G532" s="2" t="str">
        <f>IF(_xlfn.XLOOKUP(C532, customers!$A:$A, customers!$C:$C,,0)=0, "", _xlfn.XLOOKUP(C532, customers!$A:$A, customers!$C:$C,,0))</f>
        <v>dfrieseq@cargocollective.com</v>
      </c>
      <c r="H532" s="2" t="str">
        <f>_xlfn.XLOOKUP(C532, customers!$A:$A, customers!$G:$G,,0)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f>INDEX(products!$A$1:$G$49,MATCH(orders!$D532,products!$A$1:$A$49,0),MATCH(orders!L$1,products!$A$1:$G$1,0))</f>
        <v>9.9499999999999993</v>
      </c>
      <c r="M532">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cm="1">
        <f t="array" ref="F533">_xlfn.XLOOKUP(C533,customers!$A$1:$A1532,customers!$B$1:$B1532,,0)</f>
        <v>Rana Sharer</v>
      </c>
      <c r="G533" s="2" t="str">
        <f>IF(_xlfn.XLOOKUP(C533, customers!$A:$A, customers!$C:$C,,0)=0, "", _xlfn.XLOOKUP(C533, customers!$A:$A, customers!$C:$C,,0))</f>
        <v>rsharerer@flavors.me</v>
      </c>
      <c r="H533" s="2" t="str">
        <f>_xlfn.XLOOKUP(C533, customers!$A:$A, customers!$G:$G,,0)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f>INDEX(products!$A$1:$G$49,MATCH(orders!$D533,products!$A$1:$A$49,0),MATCH(orders!L$1,products!$A$1:$G$1,0))</f>
        <v>8.9499999999999993</v>
      </c>
      <c r="M533">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cm="1">
        <f t="array" ref="F534">_xlfn.XLOOKUP(C534,customers!$A$1:$A1533,customers!$B$1:$B1533,,0)</f>
        <v>Nannie Naseby</v>
      </c>
      <c r="G534" s="2" t="str">
        <f>IF(_xlfn.XLOOKUP(C534, customers!$A:$A, customers!$C:$C,,0)=0, "", _xlfn.XLOOKUP(C534, customers!$A:$A, customers!$C:$C,,0))</f>
        <v>nnasebyes@umich.edu</v>
      </c>
      <c r="H534" s="2" t="str">
        <f>_xlfn.XLOOKUP(C534, customers!$A:$A, customers!$G:$G,,0)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f>INDEX(products!$A$1:$G$49,MATCH(orders!$D534,products!$A$1:$A$49,0),MATCH(orders!L$1,products!$A$1:$G$1,0))</f>
        <v>8.25</v>
      </c>
      <c r="M534">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cm="1">
        <f t="array" ref="F535">_xlfn.XLOOKUP(C535,customers!$A$1:$A1534,customers!$B$1:$B1534,,0)</f>
        <v>Rea Offell</v>
      </c>
      <c r="G535" s="2" t="str">
        <f>IF(_xlfn.XLOOKUP(C535, customers!$A:$A, customers!$C:$C,,0)=0, "", _xlfn.XLOOKUP(C535, customers!$A:$A, customers!$C:$C,,0))</f>
        <v/>
      </c>
      <c r="H535" s="2" t="str">
        <f>_xlfn.XLOOKUP(C535, customers!$A:$A, customers!$G:$G,,0)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f>INDEX(products!$A$1:$G$49,MATCH(orders!$D535,products!$A$1:$A$49,0),MATCH(orders!L$1,products!$A$1:$G$1,0))</f>
        <v>5.3699999999999992</v>
      </c>
      <c r="M53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cm="1">
        <f t="array" ref="F536">_xlfn.XLOOKUP(C536,customers!$A$1:$A1535,customers!$B$1:$B1535,,0)</f>
        <v>Kris O'Cullen</v>
      </c>
      <c r="G536" s="2" t="str">
        <f>IF(_xlfn.XLOOKUP(C536, customers!$A:$A, customers!$C:$C,,0)=0, "", _xlfn.XLOOKUP(C536, customers!$A:$A, customers!$C:$C,,0))</f>
        <v>koculleneu@ca.gov</v>
      </c>
      <c r="H536" s="2" t="str">
        <f>_xlfn.XLOOKUP(C536, customers!$A:$A, customers!$G:$G,,0)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f>INDEX(products!$A$1:$G$49,MATCH(orders!$D536,products!$A$1:$A$49,0),MATCH(orders!L$1,products!$A$1:$G$1,0))</f>
        <v>22.884999999999998</v>
      </c>
      <c r="M536">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cm="1">
        <f t="array" ref="F537">_xlfn.XLOOKUP(C537,customers!$A$1:$A1536,customers!$B$1:$B1536,,0)</f>
        <v>Timoteo Glisane</v>
      </c>
      <c r="G537" s="2" t="str">
        <f>IF(_xlfn.XLOOKUP(C537, customers!$A:$A, customers!$C:$C,,0)=0, "", _xlfn.XLOOKUP(C537, customers!$A:$A, customers!$C:$C,,0))</f>
        <v/>
      </c>
      <c r="H537" s="2" t="str">
        <f>_xlfn.XLOOKUP(C537, customers!$A:$A, customers!$G:$G,,0)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f>INDEX(products!$A$1:$G$49,MATCH(orders!$D537,products!$A$1:$A$49,0),MATCH(orders!L$1,products!$A$1:$G$1,0))</f>
        <v>4.7549999999999999</v>
      </c>
      <c r="M537">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cm="1">
        <f t="array" ref="F538">_xlfn.XLOOKUP(C538,customers!$A$1:$A1537,customers!$B$1:$B1537,,0)</f>
        <v>Marja Urion</v>
      </c>
      <c r="G538" s="2" t="str">
        <f>IF(_xlfn.XLOOKUP(C538, customers!$A:$A, customers!$C:$C,,0)=0, "", _xlfn.XLOOKUP(C538, customers!$A:$A, customers!$C:$C,,0))</f>
        <v>murione5@alexa.com</v>
      </c>
      <c r="H538" s="2" t="str">
        <f>_xlfn.XLOOKUP(C538, customers!$A:$A, customers!$G:$G,,0)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f>INDEX(products!$A$1:$G$49,MATCH(orders!$D538,products!$A$1:$A$49,0),MATCH(orders!L$1,products!$A$1:$G$1,0))</f>
        <v>2.6849999999999996</v>
      </c>
      <c r="M538">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cm="1">
        <f t="array" ref="F539">_xlfn.XLOOKUP(C539,customers!$A$1:$A1538,customers!$B$1:$B1538,,0)</f>
        <v>Hildegarde Brangan</v>
      </c>
      <c r="G539" s="2" t="str">
        <f>IF(_xlfn.XLOOKUP(C539, customers!$A:$A, customers!$C:$C,,0)=0, "", _xlfn.XLOOKUP(C539, customers!$A:$A, customers!$C:$C,,0))</f>
        <v>hbranganex@woothemes.com</v>
      </c>
      <c r="H539" s="2" t="str">
        <f>_xlfn.XLOOKUP(C539, customers!$A:$A, customers!$G:$G,,0)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f>INDEX(products!$A$1:$G$49,MATCH(orders!$D539,products!$A$1:$A$49,0),MATCH(orders!L$1,products!$A$1:$G$1,0))</f>
        <v>27.945</v>
      </c>
      <c r="M539">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cm="1">
        <f t="array" ref="F540">_xlfn.XLOOKUP(C540,customers!$A$1:$A1539,customers!$B$1:$B1539,,0)</f>
        <v>Amii Gallyon</v>
      </c>
      <c r="G540" s="2" t="str">
        <f>IF(_xlfn.XLOOKUP(C540, customers!$A:$A, customers!$C:$C,,0)=0, "", _xlfn.XLOOKUP(C540, customers!$A:$A, customers!$C:$C,,0))</f>
        <v>agallyoney@engadget.com</v>
      </c>
      <c r="H540" s="2" t="str">
        <f>_xlfn.XLOOKUP(C540, customers!$A:$A, customers!$G:$G,,0)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f>INDEX(products!$A$1:$G$49,MATCH(orders!$D540,products!$A$1:$A$49,0),MATCH(orders!L$1,products!$A$1:$G$1,0))</f>
        <v>2.6849999999999996</v>
      </c>
      <c r="M540">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cm="1">
        <f t="array" ref="F541">_xlfn.XLOOKUP(C541,customers!$A$1:$A1540,customers!$B$1:$B1540,,0)</f>
        <v>Birgit Domange</v>
      </c>
      <c r="G541" s="2" t="str">
        <f>IF(_xlfn.XLOOKUP(C541, customers!$A:$A, customers!$C:$C,,0)=0, "", _xlfn.XLOOKUP(C541, customers!$A:$A, customers!$C:$C,,0))</f>
        <v>bdomangeez@yahoo.co.jp</v>
      </c>
      <c r="H541" s="2" t="str">
        <f>_xlfn.XLOOKUP(C541, customers!$A:$A, customers!$G:$G,,0)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f>INDEX(products!$A$1:$G$49,MATCH(orders!$D541,products!$A$1:$A$49,0),MATCH(orders!L$1,products!$A$1:$G$1,0))</f>
        <v>5.3699999999999992</v>
      </c>
      <c r="M541">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cm="1">
        <f t="array" ref="F542">_xlfn.XLOOKUP(C542,customers!$A$1:$A1541,customers!$B$1:$B1541,,0)</f>
        <v>Killian Osler</v>
      </c>
      <c r="G542" s="2" t="str">
        <f>IF(_xlfn.XLOOKUP(C542, customers!$A:$A, customers!$C:$C,,0)=0, "", _xlfn.XLOOKUP(C542, customers!$A:$A, customers!$C:$C,,0))</f>
        <v>koslerf0@gmpg.org</v>
      </c>
      <c r="H542" s="2" t="str">
        <f>_xlfn.XLOOKUP(C542, customers!$A:$A, customers!$G:$G,,0)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f>INDEX(products!$A$1:$G$49,MATCH(orders!$D542,products!$A$1:$A$49,0),MATCH(orders!L$1,products!$A$1:$G$1,0))</f>
        <v>15.85</v>
      </c>
      <c r="M542">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cm="1">
        <f t="array" ref="F543">_xlfn.XLOOKUP(C543,customers!$A$1:$A1542,customers!$B$1:$B1542,,0)</f>
        <v>Lora Dukes</v>
      </c>
      <c r="G543" s="2" t="str">
        <f>IF(_xlfn.XLOOKUP(C543, customers!$A:$A, customers!$C:$C,,0)=0, "", _xlfn.XLOOKUP(C543, customers!$A:$A, customers!$C:$C,,0))</f>
        <v/>
      </c>
      <c r="H543" s="2" t="str">
        <f>_xlfn.XLOOKUP(C543, customers!$A:$A, customers!$G:$G,,0)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f>INDEX(products!$A$1:$G$49,MATCH(orders!$D543,products!$A$1:$A$49,0),MATCH(orders!L$1,products!$A$1:$G$1,0))</f>
        <v>22.884999999999998</v>
      </c>
      <c r="M543">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cm="1">
        <f t="array" ref="F544">_xlfn.XLOOKUP(C544,customers!$A$1:$A1543,customers!$B$1:$B1543,,0)</f>
        <v>Zack Pellett</v>
      </c>
      <c r="G544" s="2" t="str">
        <f>IF(_xlfn.XLOOKUP(C544, customers!$A:$A, customers!$C:$C,,0)=0, "", _xlfn.XLOOKUP(C544, customers!$A:$A, customers!$C:$C,,0))</f>
        <v>zpellettf2@dailymotion.com</v>
      </c>
      <c r="H544" s="2" t="str">
        <f>_xlfn.XLOOKUP(C544, customers!$A:$A, customers!$G:$G,,0)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f>INDEX(products!$A$1:$G$49,MATCH(orders!$D544,products!$A$1:$A$49,0),MATCH(orders!L$1,products!$A$1:$G$1,0))</f>
        <v>25.874999999999996</v>
      </c>
      <c r="M544">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cm="1">
        <f t="array" ref="F545">_xlfn.XLOOKUP(C545,customers!$A$1:$A1544,customers!$B$1:$B1544,,0)</f>
        <v>Ilaire Sprakes</v>
      </c>
      <c r="G545" s="2" t="str">
        <f>IF(_xlfn.XLOOKUP(C545, customers!$A:$A, customers!$C:$C,,0)=0, "", _xlfn.XLOOKUP(C545, customers!$A:$A, customers!$C:$C,,0))</f>
        <v>isprakesf3@spiegel.de</v>
      </c>
      <c r="H545" s="2" t="str">
        <f>_xlfn.XLOOKUP(C545, customers!$A:$A, customers!$G:$G,,0)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f>INDEX(products!$A$1:$G$49,MATCH(orders!$D545,products!$A$1:$A$49,0),MATCH(orders!L$1,products!$A$1:$G$1,0))</f>
        <v>27.484999999999996</v>
      </c>
      <c r="M54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cm="1">
        <f t="array" ref="F546">_xlfn.XLOOKUP(C546,customers!$A$1:$A1545,customers!$B$1:$B1545,,0)</f>
        <v>Heda Fromant</v>
      </c>
      <c r="G546" s="2" t="str">
        <f>IF(_xlfn.XLOOKUP(C546, customers!$A:$A, customers!$C:$C,,0)=0, "", _xlfn.XLOOKUP(C546, customers!$A:$A, customers!$C:$C,,0))</f>
        <v>hfromantf4@ucsd.edu</v>
      </c>
      <c r="H546" s="2" t="str">
        <f>_xlfn.XLOOKUP(C546, customers!$A:$A, customers!$G:$G,,0)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f>INDEX(products!$A$1:$G$49,MATCH(orders!$D546,products!$A$1:$A$49,0),MATCH(orders!L$1,products!$A$1:$G$1,0))</f>
        <v>7.77</v>
      </c>
      <c r="M546">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cm="1">
        <f t="array" ref="F547">_xlfn.XLOOKUP(C547,customers!$A$1:$A1546,customers!$B$1:$B1546,,0)</f>
        <v>Rufus Flear</v>
      </c>
      <c r="G547" s="2" t="str">
        <f>IF(_xlfn.XLOOKUP(C547, customers!$A:$A, customers!$C:$C,,0)=0, "", _xlfn.XLOOKUP(C547, customers!$A:$A, customers!$C:$C,,0))</f>
        <v>rflearf5@artisteer.com</v>
      </c>
      <c r="H547" s="2" t="str">
        <f>_xlfn.XLOOKUP(C547, customers!$A:$A, customers!$G:$G,,0)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f>INDEX(products!$A$1:$G$49,MATCH(orders!$D547,products!$A$1:$A$49,0),MATCH(orders!L$1,products!$A$1:$G$1,0))</f>
        <v>3.8849999999999998</v>
      </c>
      <c r="M547">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cm="1">
        <f t="array" ref="F548">_xlfn.XLOOKUP(C548,customers!$A$1:$A1547,customers!$B$1:$B1547,,0)</f>
        <v>Dom Milella</v>
      </c>
      <c r="G548" s="2" t="str">
        <f>IF(_xlfn.XLOOKUP(C548, customers!$A:$A, customers!$C:$C,,0)=0, "", _xlfn.XLOOKUP(C548, customers!$A:$A, customers!$C:$C,,0))</f>
        <v/>
      </c>
      <c r="H548" s="2" t="str">
        <f>_xlfn.XLOOKUP(C548, customers!$A:$A, customers!$G:$G,,0)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f>INDEX(products!$A$1:$G$49,MATCH(orders!$D548,products!$A$1:$A$49,0),MATCH(orders!L$1,products!$A$1:$G$1,0))</f>
        <v>27.945</v>
      </c>
      <c r="M548">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cm="1">
        <f t="array" ref="F549">_xlfn.XLOOKUP(C549,customers!$A$1:$A1548,customers!$B$1:$B1548,,0)</f>
        <v>Wilek Lightollers</v>
      </c>
      <c r="G549" s="2" t="str">
        <f>IF(_xlfn.XLOOKUP(C549, customers!$A:$A, customers!$C:$C,,0)=0, "", _xlfn.XLOOKUP(C549, customers!$A:$A, customers!$C:$C,,0))</f>
        <v>wlightollersf9@baidu.com</v>
      </c>
      <c r="H549" s="2" t="str">
        <f>_xlfn.XLOOKUP(C549, customers!$A:$A, customers!$G:$G,,0)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f>INDEX(products!$A$1:$G$49,MATCH(orders!$D549,products!$A$1:$A$49,0),MATCH(orders!L$1,products!$A$1:$G$1,0))</f>
        <v>3.5849999999999995</v>
      </c>
      <c r="M549">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cm="1">
        <f t="array" ref="F550">_xlfn.XLOOKUP(C550,customers!$A$1:$A1549,customers!$B$1:$B1549,,0)</f>
        <v>Bette-ann Munden</v>
      </c>
      <c r="G550" s="2" t="str">
        <f>IF(_xlfn.XLOOKUP(C550, customers!$A:$A, customers!$C:$C,,0)=0, "", _xlfn.XLOOKUP(C550, customers!$A:$A, customers!$C:$C,,0))</f>
        <v>bmundenf8@elpais.com</v>
      </c>
      <c r="H550" s="2" t="str">
        <f>_xlfn.XLOOKUP(C550, customers!$A:$A, customers!$G:$G,,0)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f>INDEX(products!$A$1:$G$49,MATCH(orders!$D550,products!$A$1:$A$49,0),MATCH(orders!L$1,products!$A$1:$G$1,0))</f>
        <v>4.4550000000000001</v>
      </c>
      <c r="M550">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cm="1">
        <f t="array" ref="F551">_xlfn.XLOOKUP(C551,customers!$A$1:$A1550,customers!$B$1:$B1550,,0)</f>
        <v>Wilek Lightollers</v>
      </c>
      <c r="G551" s="2" t="str">
        <f>IF(_xlfn.XLOOKUP(C551, customers!$A:$A, customers!$C:$C,,0)=0, "", _xlfn.XLOOKUP(C551, customers!$A:$A, customers!$C:$C,,0))</f>
        <v>wlightollersf9@baidu.com</v>
      </c>
      <c r="H551" s="2" t="str">
        <f>_xlfn.XLOOKUP(C551, customers!$A:$A, customers!$G:$G,,0)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f>INDEX(products!$A$1:$G$49,MATCH(orders!$D551,products!$A$1:$A$49,0),MATCH(orders!L$1,products!$A$1:$G$1,0))</f>
        <v>4.4550000000000001</v>
      </c>
      <c r="M551">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cm="1">
        <f t="array" ref="F552">_xlfn.XLOOKUP(C552,customers!$A$1:$A1551,customers!$B$1:$B1551,,0)</f>
        <v>Nick Brakespear</v>
      </c>
      <c r="G552" s="2" t="str">
        <f>IF(_xlfn.XLOOKUP(C552, customers!$A:$A, customers!$C:$C,,0)=0, "", _xlfn.XLOOKUP(C552, customers!$A:$A, customers!$C:$C,,0))</f>
        <v>nbrakespearfa@rediff.com</v>
      </c>
      <c r="H552" s="2" t="str">
        <f>_xlfn.XLOOKUP(C552, customers!$A:$A, customers!$G:$G,,0)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f>INDEX(products!$A$1:$G$49,MATCH(orders!$D552,products!$A$1:$A$49,0),MATCH(orders!L$1,products!$A$1:$G$1,0))</f>
        <v>3.8849999999999998</v>
      </c>
      <c r="M552">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cm="1">
        <f t="array" ref="F553">_xlfn.XLOOKUP(C553,customers!$A$1:$A1552,customers!$B$1:$B1552,,0)</f>
        <v>Malynda Glawsop</v>
      </c>
      <c r="G553" s="2" t="str">
        <f>IF(_xlfn.XLOOKUP(C553, customers!$A:$A, customers!$C:$C,,0)=0, "", _xlfn.XLOOKUP(C553, customers!$A:$A, customers!$C:$C,,0))</f>
        <v>mglawsopfb@reverbnation.com</v>
      </c>
      <c r="H553" s="2" t="str">
        <f>_xlfn.XLOOKUP(C553, customers!$A:$A, customers!$G:$G,,0)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f>INDEX(products!$A$1:$G$49,MATCH(orders!$D553,products!$A$1:$A$49,0),MATCH(orders!L$1,products!$A$1:$G$1,0))</f>
        <v>3.645</v>
      </c>
      <c r="M553">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cm="1">
        <f t="array" ref="F554">_xlfn.XLOOKUP(C554,customers!$A$1:$A1553,customers!$B$1:$B1553,,0)</f>
        <v>Granville Alberts</v>
      </c>
      <c r="G554" s="2" t="str">
        <f>IF(_xlfn.XLOOKUP(C554, customers!$A:$A, customers!$C:$C,,0)=0, "", _xlfn.XLOOKUP(C554, customers!$A:$A, customers!$C:$C,,0))</f>
        <v>galbertsfc@etsy.com</v>
      </c>
      <c r="H554" s="2" t="str">
        <f>_xlfn.XLOOKUP(C554, customers!$A:$A, customers!$G:$G,,0)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f>INDEX(products!$A$1:$G$49,MATCH(orders!$D554,products!$A$1:$A$49,0),MATCH(orders!L$1,products!$A$1:$G$1,0))</f>
        <v>4.4550000000000001</v>
      </c>
      <c r="M554">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cm="1">
        <f t="array" ref="F555">_xlfn.XLOOKUP(C555,customers!$A$1:$A1554,customers!$B$1:$B1554,,0)</f>
        <v>Vasily Polglase</v>
      </c>
      <c r="G555" s="2" t="str">
        <f>IF(_xlfn.XLOOKUP(C555, customers!$A:$A, customers!$C:$C,,0)=0, "", _xlfn.XLOOKUP(C555, customers!$A:$A, customers!$C:$C,,0))</f>
        <v>vpolglasefd@about.me</v>
      </c>
      <c r="H555" s="2" t="str">
        <f>_xlfn.XLOOKUP(C555, customers!$A:$A, customers!$G:$G,,0)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f>INDEX(products!$A$1:$G$49,MATCH(orders!$D555,products!$A$1:$A$49,0),MATCH(orders!L$1,products!$A$1:$G$1,0))</f>
        <v>13.75</v>
      </c>
      <c r="M55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cm="1">
        <f t="array" ref="F556">_xlfn.XLOOKUP(C556,customers!$A$1:$A1555,customers!$B$1:$B1555,,0)</f>
        <v>Madelaine Sharples</v>
      </c>
      <c r="G556" s="2" t="str">
        <f>IF(_xlfn.XLOOKUP(C556, customers!$A:$A, customers!$C:$C,,0)=0, "", _xlfn.XLOOKUP(C556, customers!$A:$A, customers!$C:$C,,0))</f>
        <v/>
      </c>
      <c r="H556" s="2" t="str">
        <f>_xlfn.XLOOKUP(C556, customers!$A:$A, customers!$G:$G,,0)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f>INDEX(products!$A$1:$G$49,MATCH(orders!$D556,products!$A$1:$A$49,0),MATCH(orders!L$1,products!$A$1:$G$1,0))</f>
        <v>27.484999999999996</v>
      </c>
      <c r="M556">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cm="1">
        <f t="array" ref="F557">_xlfn.XLOOKUP(C557,customers!$A$1:$A1556,customers!$B$1:$B1556,,0)</f>
        <v>Sigfrid Busch</v>
      </c>
      <c r="G557" s="2" t="str">
        <f>IF(_xlfn.XLOOKUP(C557, customers!$A:$A, customers!$C:$C,,0)=0, "", _xlfn.XLOOKUP(C557, customers!$A:$A, customers!$C:$C,,0))</f>
        <v>sbuschff@so-net.ne.jp</v>
      </c>
      <c r="H557" s="2" t="str">
        <f>_xlfn.XLOOKUP(C557, customers!$A:$A, customers!$G:$G,,0)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f>INDEX(products!$A$1:$G$49,MATCH(orders!$D557,products!$A$1:$A$49,0),MATCH(orders!L$1,products!$A$1:$G$1,0))</f>
        <v>13.75</v>
      </c>
      <c r="M557">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cm="1">
        <f t="array" ref="F558">_xlfn.XLOOKUP(C558,customers!$A$1:$A1557,customers!$B$1:$B1557,,0)</f>
        <v>Cissiee Raisbeck</v>
      </c>
      <c r="G558" s="2" t="str">
        <f>IF(_xlfn.XLOOKUP(C558, customers!$A:$A, customers!$C:$C,,0)=0, "", _xlfn.XLOOKUP(C558, customers!$A:$A, customers!$C:$C,,0))</f>
        <v>craisbeckfg@webnode.com</v>
      </c>
      <c r="H558" s="2" t="str">
        <f>_xlfn.XLOOKUP(C558, customers!$A:$A, customers!$G:$G,,0)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f>INDEX(products!$A$1:$G$49,MATCH(orders!$D558,products!$A$1:$A$49,0),MATCH(orders!L$1,products!$A$1:$G$1,0))</f>
        <v>4.3650000000000002</v>
      </c>
      <c r="M558">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cm="1">
        <f t="array" ref="F559">_xlfn.XLOOKUP(C559,customers!$A$1:$A1558,customers!$B$1:$B1558,,0)</f>
        <v>Marja Urion</v>
      </c>
      <c r="G559" s="2" t="str">
        <f>IF(_xlfn.XLOOKUP(C559, customers!$A:$A, customers!$C:$C,,0)=0, "", _xlfn.XLOOKUP(C559, customers!$A:$A, customers!$C:$C,,0))</f>
        <v>murione5@alexa.com</v>
      </c>
      <c r="H559" s="2" t="str">
        <f>_xlfn.XLOOKUP(C559, customers!$A:$A, customers!$G:$G,,0)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f>INDEX(products!$A$1:$G$49,MATCH(orders!$D559,products!$A$1:$A$49,0),MATCH(orders!L$1,products!$A$1:$G$1,0))</f>
        <v>14.85</v>
      </c>
      <c r="M559">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cm="1">
        <f t="array" ref="F560">_xlfn.XLOOKUP(C560,customers!$A$1:$A1559,customers!$B$1:$B1559,,0)</f>
        <v>Kenton Wetherick</v>
      </c>
      <c r="G560" s="2" t="str">
        <f>IF(_xlfn.XLOOKUP(C560, customers!$A:$A, customers!$C:$C,,0)=0, "", _xlfn.XLOOKUP(C560, customers!$A:$A, customers!$C:$C,,0))</f>
        <v/>
      </c>
      <c r="H560" s="2" t="str">
        <f>_xlfn.XLOOKUP(C560, customers!$A:$A, customers!$G:$G,,0)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f>INDEX(products!$A$1:$G$49,MATCH(orders!$D560,products!$A$1:$A$49,0),MATCH(orders!L$1,products!$A$1:$G$1,0))</f>
        <v>3.8849999999999998</v>
      </c>
      <c r="M560">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cm="1">
        <f t="array" ref="F561">_xlfn.XLOOKUP(C561,customers!$A$1:$A1560,customers!$B$1:$B1560,,0)</f>
        <v>Reamonn Aynold</v>
      </c>
      <c r="G561" s="2" t="str">
        <f>IF(_xlfn.XLOOKUP(C561, customers!$A:$A, customers!$C:$C,,0)=0, "", _xlfn.XLOOKUP(C561, customers!$A:$A, customers!$C:$C,,0))</f>
        <v>raynoldfj@ustream.tv</v>
      </c>
      <c r="H561" s="2" t="str">
        <f>_xlfn.XLOOKUP(C561, customers!$A:$A, customers!$G:$G,,0)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f>INDEX(products!$A$1:$G$49,MATCH(orders!$D561,products!$A$1:$A$49,0),MATCH(orders!L$1,products!$A$1:$G$1,0))</f>
        <v>12.95</v>
      </c>
      <c r="M561">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cm="1">
        <f t="array" ref="F562">_xlfn.XLOOKUP(C562,customers!$A$1:$A1561,customers!$B$1:$B1561,,0)</f>
        <v>Hatty Dovydenas</v>
      </c>
      <c r="G562" s="2" t="str">
        <f>IF(_xlfn.XLOOKUP(C562, customers!$A:$A, customers!$C:$C,,0)=0, "", _xlfn.XLOOKUP(C562, customers!$A:$A, customers!$C:$C,,0))</f>
        <v/>
      </c>
      <c r="H562" s="2" t="str">
        <f>_xlfn.XLOOKUP(C562, customers!$A:$A, customers!$G:$G,,0)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f>INDEX(products!$A$1:$G$49,MATCH(orders!$D562,products!$A$1:$A$49,0),MATCH(orders!L$1,products!$A$1:$G$1,0))</f>
        <v>31.624999999999996</v>
      </c>
      <c r="M562">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cm="1">
        <f t="array" ref="F563">_xlfn.XLOOKUP(C563,customers!$A$1:$A1562,customers!$B$1:$B1562,,0)</f>
        <v>Nathaniel Bloxland</v>
      </c>
      <c r="G563" s="2" t="str">
        <f>IF(_xlfn.XLOOKUP(C563, customers!$A:$A, customers!$C:$C,,0)=0, "", _xlfn.XLOOKUP(C563, customers!$A:$A, customers!$C:$C,,0))</f>
        <v/>
      </c>
      <c r="H563" s="2" t="str">
        <f>_xlfn.XLOOKUP(C563, customers!$A:$A, customers!$G:$G,,0)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f>INDEX(products!$A$1:$G$49,MATCH(orders!$D563,products!$A$1:$A$49,0),MATCH(orders!L$1,products!$A$1:$G$1,0))</f>
        <v>2.9849999999999999</v>
      </c>
      <c r="M563">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cm="1">
        <f t="array" ref="F564">_xlfn.XLOOKUP(C564,customers!$A$1:$A1563,customers!$B$1:$B1563,,0)</f>
        <v>Brendan Grece</v>
      </c>
      <c r="G564" s="2" t="str">
        <f>IF(_xlfn.XLOOKUP(C564, customers!$A:$A, customers!$C:$C,,0)=0, "", _xlfn.XLOOKUP(C564, customers!$A:$A, customers!$C:$C,,0))</f>
        <v>bgrecefm@naver.com</v>
      </c>
      <c r="H564" s="2" t="str">
        <f>_xlfn.XLOOKUP(C564, customers!$A:$A, customers!$G:$G,,0)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f>INDEX(products!$A$1:$G$49,MATCH(orders!$D564,products!$A$1:$A$49,0),MATCH(orders!L$1,products!$A$1:$G$1,0))</f>
        <v>4.7549999999999999</v>
      </c>
      <c r="M564">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cm="1">
        <f t="array" ref="F565">_xlfn.XLOOKUP(C565,customers!$A$1:$A1564,customers!$B$1:$B1564,,0)</f>
        <v>Don Flintiff</v>
      </c>
      <c r="G565" s="2" t="str">
        <f>IF(_xlfn.XLOOKUP(C565, customers!$A:$A, customers!$C:$C,,0)=0, "", _xlfn.XLOOKUP(C565, customers!$A:$A, customers!$C:$C,,0))</f>
        <v>dflintiffg1@e-recht24.de</v>
      </c>
      <c r="H565" s="2" t="str">
        <f>_xlfn.XLOOKUP(C565, customers!$A:$A, customers!$G:$G,,0)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f>INDEX(products!$A$1:$G$49,MATCH(orders!$D565,products!$A$1:$A$49,0),MATCH(orders!L$1,products!$A$1:$G$1,0))</f>
        <v>13.75</v>
      </c>
      <c r="M56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cm="1">
        <f t="array" ref="F566">_xlfn.XLOOKUP(C566,customers!$A$1:$A1565,customers!$B$1:$B1565,,0)</f>
        <v>Abbe Thys</v>
      </c>
      <c r="G566" s="2" t="str">
        <f>IF(_xlfn.XLOOKUP(C566, customers!$A:$A, customers!$C:$C,,0)=0, "", _xlfn.XLOOKUP(C566, customers!$A:$A, customers!$C:$C,,0))</f>
        <v>athysfo@cdc.gov</v>
      </c>
      <c r="H566" s="2" t="str">
        <f>_xlfn.XLOOKUP(C566, customers!$A:$A, customers!$G:$G,,0)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f>INDEX(products!$A$1:$G$49,MATCH(orders!$D566,products!$A$1:$A$49,0),MATCH(orders!L$1,products!$A$1:$G$1,0))</f>
        <v>7.169999999999999</v>
      </c>
      <c r="M566">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cm="1">
        <f t="array" ref="F567">_xlfn.XLOOKUP(C567,customers!$A$1:$A1566,customers!$B$1:$B1566,,0)</f>
        <v>Jackquelin Chugg</v>
      </c>
      <c r="G567" s="2" t="str">
        <f>IF(_xlfn.XLOOKUP(C567, customers!$A:$A, customers!$C:$C,,0)=0, "", _xlfn.XLOOKUP(C567, customers!$A:$A, customers!$C:$C,,0))</f>
        <v>jchuggfp@about.me</v>
      </c>
      <c r="H567" s="2" t="str">
        <f>_xlfn.XLOOKUP(C567, customers!$A:$A, customers!$G:$G,,0)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f>INDEX(products!$A$1:$G$49,MATCH(orders!$D567,products!$A$1:$A$49,0),MATCH(orders!L$1,products!$A$1:$G$1,0))</f>
        <v>20.584999999999997</v>
      </c>
      <c r="M567">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cm="1">
        <f t="array" ref="F568">_xlfn.XLOOKUP(C568,customers!$A$1:$A1567,customers!$B$1:$B1567,,0)</f>
        <v>Audra Kelston</v>
      </c>
      <c r="G568" s="2" t="str">
        <f>IF(_xlfn.XLOOKUP(C568, customers!$A:$A, customers!$C:$C,,0)=0, "", _xlfn.XLOOKUP(C568, customers!$A:$A, customers!$C:$C,,0))</f>
        <v>akelstonfq@sakura.ne.jp</v>
      </c>
      <c r="H568" s="2" t="str">
        <f>_xlfn.XLOOKUP(C568, customers!$A:$A, customers!$G:$G,,0)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f>INDEX(products!$A$1:$G$49,MATCH(orders!$D568,products!$A$1:$A$49,0),MATCH(orders!L$1,products!$A$1:$G$1,0))</f>
        <v>3.375</v>
      </c>
      <c r="M568">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cm="1">
        <f t="array" ref="F569">_xlfn.XLOOKUP(C569,customers!$A$1:$A1568,customers!$B$1:$B1568,,0)</f>
        <v>Elvina Angel</v>
      </c>
      <c r="G569" s="2" t="str">
        <f>IF(_xlfn.XLOOKUP(C569, customers!$A:$A, customers!$C:$C,,0)=0, "", _xlfn.XLOOKUP(C569, customers!$A:$A, customers!$C:$C,,0))</f>
        <v/>
      </c>
      <c r="H569" s="2" t="str">
        <f>_xlfn.XLOOKUP(C569, customers!$A:$A, customers!$G:$G,,0)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f>INDEX(products!$A$1:$G$49,MATCH(orders!$D569,products!$A$1:$A$49,0),MATCH(orders!L$1,products!$A$1:$G$1,0))</f>
        <v>27.484999999999996</v>
      </c>
      <c r="M569">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cm="1">
        <f t="array" ref="F570">_xlfn.XLOOKUP(C570,customers!$A$1:$A1569,customers!$B$1:$B1569,,0)</f>
        <v>Claiborne Mottram</v>
      </c>
      <c r="G570" s="2" t="str">
        <f>IF(_xlfn.XLOOKUP(C570, customers!$A:$A, customers!$C:$C,,0)=0, "", _xlfn.XLOOKUP(C570, customers!$A:$A, customers!$C:$C,,0))</f>
        <v>cmottramfs@harvard.edu</v>
      </c>
      <c r="H570" s="2" t="str">
        <f>_xlfn.XLOOKUP(C570, customers!$A:$A, customers!$G:$G,,0)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f>INDEX(products!$A$1:$G$49,MATCH(orders!$D570,products!$A$1:$A$49,0),MATCH(orders!L$1,products!$A$1:$G$1,0))</f>
        <v>4.7549999999999999</v>
      </c>
      <c r="M570">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cm="1">
        <f t="array" ref="F571">_xlfn.XLOOKUP(C571,customers!$A$1:$A1570,customers!$B$1:$B1570,,0)</f>
        <v>Don Flintiff</v>
      </c>
      <c r="G571" s="2" t="str">
        <f>IF(_xlfn.XLOOKUP(C571, customers!$A:$A, customers!$C:$C,,0)=0, "", _xlfn.XLOOKUP(C571, customers!$A:$A, customers!$C:$C,,0))</f>
        <v>dflintiffg1@e-recht24.de</v>
      </c>
      <c r="H571" s="2" t="str">
        <f>_xlfn.XLOOKUP(C571, customers!$A:$A, customers!$G:$G,,0)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f>INDEX(products!$A$1:$G$49,MATCH(orders!$D571,products!$A$1:$A$49,0),MATCH(orders!L$1,products!$A$1:$G$1,0))</f>
        <v>22.884999999999998</v>
      </c>
      <c r="M571">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cm="1">
        <f t="array" ref="F572">_xlfn.XLOOKUP(C572,customers!$A$1:$A1571,customers!$B$1:$B1571,,0)</f>
        <v>Donalt Sangwin</v>
      </c>
      <c r="G572" s="2" t="str">
        <f>IF(_xlfn.XLOOKUP(C572, customers!$A:$A, customers!$C:$C,,0)=0, "", _xlfn.XLOOKUP(C572, customers!$A:$A, customers!$C:$C,,0))</f>
        <v>dsangwinfu@weebly.com</v>
      </c>
      <c r="H572" s="2" t="str">
        <f>_xlfn.XLOOKUP(C572, customers!$A:$A, customers!$G:$G,,0)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f>INDEX(products!$A$1:$G$49,MATCH(orders!$D572,products!$A$1:$A$49,0),MATCH(orders!L$1,products!$A$1:$G$1,0))</f>
        <v>6.75</v>
      </c>
      <c r="M572">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cm="1">
        <f t="array" ref="F573">_xlfn.XLOOKUP(C573,customers!$A$1:$A1572,customers!$B$1:$B1572,,0)</f>
        <v>Elizabet Aizikowitz</v>
      </c>
      <c r="G573" s="2" t="str">
        <f>IF(_xlfn.XLOOKUP(C573, customers!$A:$A, customers!$C:$C,,0)=0, "", _xlfn.XLOOKUP(C573, customers!$A:$A, customers!$C:$C,,0))</f>
        <v>eaizikowitzfv@virginia.edu</v>
      </c>
      <c r="H573" s="2" t="str">
        <f>_xlfn.XLOOKUP(C573, customers!$A:$A, customers!$G:$G,,0)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f>INDEX(products!$A$1:$G$49,MATCH(orders!$D573,products!$A$1:$A$49,0),MATCH(orders!L$1,products!$A$1:$G$1,0))</f>
        <v>8.91</v>
      </c>
      <c r="M573">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cm="1">
        <f t="array" ref="F574">_xlfn.XLOOKUP(C574,customers!$A$1:$A1573,customers!$B$1:$B1573,,0)</f>
        <v>Herbie Peppard</v>
      </c>
      <c r="G574" s="2" t="str">
        <f>IF(_xlfn.XLOOKUP(C574, customers!$A:$A, customers!$C:$C,,0)=0, "", _xlfn.XLOOKUP(C574, customers!$A:$A, customers!$C:$C,,0))</f>
        <v/>
      </c>
      <c r="H574" s="2" t="str">
        <f>_xlfn.XLOOKUP(C574, customers!$A:$A, customers!$G:$G,,0)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f>INDEX(products!$A$1:$G$49,MATCH(orders!$D574,products!$A$1:$A$49,0),MATCH(orders!L$1,products!$A$1:$G$1,0))</f>
        <v>2.9849999999999999</v>
      </c>
      <c r="M574">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cm="1">
        <f t="array" ref="F575">_xlfn.XLOOKUP(C575,customers!$A$1:$A1574,customers!$B$1:$B1574,,0)</f>
        <v>Cornie Venour</v>
      </c>
      <c r="G575" s="2" t="str">
        <f>IF(_xlfn.XLOOKUP(C575, customers!$A:$A, customers!$C:$C,,0)=0, "", _xlfn.XLOOKUP(C575, customers!$A:$A, customers!$C:$C,,0))</f>
        <v>cvenourfx@ask.com</v>
      </c>
      <c r="H575" s="2" t="str">
        <f>_xlfn.XLOOKUP(C575, customers!$A:$A, customers!$G:$G,,0)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f>INDEX(products!$A$1:$G$49,MATCH(orders!$D575,products!$A$1:$A$49,0),MATCH(orders!L$1,products!$A$1:$G$1,0))</f>
        <v>11.25</v>
      </c>
      <c r="M57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cm="1">
        <f t="array" ref="F576">_xlfn.XLOOKUP(C576,customers!$A$1:$A1575,customers!$B$1:$B1575,,0)</f>
        <v>Maggy Harby</v>
      </c>
      <c r="G576" s="2" t="str">
        <f>IF(_xlfn.XLOOKUP(C576, customers!$A:$A, customers!$C:$C,,0)=0, "", _xlfn.XLOOKUP(C576, customers!$A:$A, customers!$C:$C,,0))</f>
        <v>mharbyfy@163.com</v>
      </c>
      <c r="H576" s="2" t="str">
        <f>_xlfn.XLOOKUP(C576, customers!$A:$A, customers!$G:$G,,0)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f>INDEX(products!$A$1:$G$49,MATCH(orders!$D576,products!$A$1:$A$49,0),MATCH(orders!L$1,products!$A$1:$G$1,0))</f>
        <v>3.5849999999999995</v>
      </c>
      <c r="M576">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cm="1">
        <f t="array" ref="F577">_xlfn.XLOOKUP(C577,customers!$A$1:$A1576,customers!$B$1:$B1576,,0)</f>
        <v>Reggie Thickpenny</v>
      </c>
      <c r="G577" s="2" t="str">
        <f>IF(_xlfn.XLOOKUP(C577, customers!$A:$A, customers!$C:$C,,0)=0, "", _xlfn.XLOOKUP(C577, customers!$A:$A, customers!$C:$C,,0))</f>
        <v>rthickpennyfz@cafepress.com</v>
      </c>
      <c r="H577" s="2" t="str">
        <f>_xlfn.XLOOKUP(C577, customers!$A:$A, customers!$G:$G,,0)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f>INDEX(products!$A$1:$G$49,MATCH(orders!$D577,products!$A$1:$A$49,0),MATCH(orders!L$1,products!$A$1:$G$1,0))</f>
        <v>33.464999999999996</v>
      </c>
      <c r="M577">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cm="1">
        <f t="array" ref="F578">_xlfn.XLOOKUP(C578,customers!$A$1:$A1577,customers!$B$1:$B1577,,0)</f>
        <v>Phyllys Ormerod</v>
      </c>
      <c r="G578" s="2" t="str">
        <f>IF(_xlfn.XLOOKUP(C578, customers!$A:$A, customers!$C:$C,,0)=0, "", _xlfn.XLOOKUP(C578, customers!$A:$A, customers!$C:$C,,0))</f>
        <v>pormerodg0@redcross.org</v>
      </c>
      <c r="H578" s="2" t="str">
        <f>_xlfn.XLOOKUP(C578, customers!$A:$A, customers!$G:$G,,0)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f>INDEX(products!$A$1:$G$49,MATCH(orders!$D578,products!$A$1:$A$49,0),MATCH(orders!L$1,products!$A$1:$G$1,0))</f>
        <v>2.9849999999999999</v>
      </c>
      <c r="M578">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cm="1">
        <f t="array" ref="F579">_xlfn.XLOOKUP(C579,customers!$A$1:$A1578,customers!$B$1:$B1578,,0)</f>
        <v>Don Flintiff</v>
      </c>
      <c r="G579" s="2" t="str">
        <f>IF(_xlfn.XLOOKUP(C579, customers!$A:$A, customers!$C:$C,,0)=0, "", _xlfn.XLOOKUP(C579, customers!$A:$A, customers!$C:$C,,0))</f>
        <v>dflintiffg1@e-recht24.de</v>
      </c>
      <c r="H579" s="2" t="str">
        <f>_xlfn.XLOOKUP(C579, customers!$A:$A, customers!$G:$G,,0)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f>INDEX(products!$A$1:$G$49,MATCH(orders!$D579,products!$A$1:$A$49,0),MATCH(orders!L$1,products!$A$1:$G$1,0))</f>
        <v>14.55</v>
      </c>
      <c r="M579">
        <f t="shared" ref="M579:M642" si="27">L579*E579</f>
        <v>58.2</v>
      </c>
      <c r="N579" t="str">
        <f t="shared" ref="N579:N642" si="28">IF(I579="Rob", "Robusta", IF(I579="Exc","Excelsa",IF(I579="Ara","Arabica", 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cm="1">
        <f t="array" ref="F580">_xlfn.XLOOKUP(C580,customers!$A$1:$A1579,customers!$B$1:$B1579,,0)</f>
        <v>Tymon Zanetti</v>
      </c>
      <c r="G580" s="2" t="str">
        <f>IF(_xlfn.XLOOKUP(C580, customers!$A:$A, customers!$C:$C,,0)=0, "", _xlfn.XLOOKUP(C580, customers!$A:$A, customers!$C:$C,,0))</f>
        <v>tzanettig2@gravatar.com</v>
      </c>
      <c r="H580" s="2" t="str">
        <f>_xlfn.XLOOKUP(C580, customers!$A:$A, customers!$G:$G,,0)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f>INDEX(products!$A$1:$G$49,MATCH(orders!$D580,products!$A$1:$A$49,0),MATCH(orders!L$1,products!$A$1:$G$1,0))</f>
        <v>4.4550000000000001</v>
      </c>
      <c r="M580">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cm="1">
        <f t="array" ref="F581">_xlfn.XLOOKUP(C581,customers!$A$1:$A1580,customers!$B$1:$B1580,,0)</f>
        <v>Tymon Zanetti</v>
      </c>
      <c r="G581" s="2" t="str">
        <f>IF(_xlfn.XLOOKUP(C581, customers!$A:$A, customers!$C:$C,,0)=0, "", _xlfn.XLOOKUP(C581, customers!$A:$A, customers!$C:$C,,0))</f>
        <v>tzanettig2@gravatar.com</v>
      </c>
      <c r="H581" s="2" t="str">
        <f>_xlfn.XLOOKUP(C581, customers!$A:$A, customers!$G:$G,,0)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f>INDEX(products!$A$1:$G$49,MATCH(orders!$D581,products!$A$1:$A$49,0),MATCH(orders!L$1,products!$A$1:$G$1,0))</f>
        <v>6.75</v>
      </c>
      <c r="M581">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cm="1">
        <f t="array" ref="F582">_xlfn.XLOOKUP(C582,customers!$A$1:$A1581,customers!$B$1:$B1581,,0)</f>
        <v>Reinaldos Kirtley</v>
      </c>
      <c r="G582" s="2" t="str">
        <f>IF(_xlfn.XLOOKUP(C582, customers!$A:$A, customers!$C:$C,,0)=0, "", _xlfn.XLOOKUP(C582, customers!$A:$A, customers!$C:$C,,0))</f>
        <v>rkirtleyg4@hatena.ne.jp</v>
      </c>
      <c r="H582" s="2" t="str">
        <f>_xlfn.XLOOKUP(C582, customers!$A:$A, customers!$G:$G,,0)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f>INDEX(products!$A$1:$G$49,MATCH(orders!$D582,products!$A$1:$A$49,0),MATCH(orders!L$1,products!$A$1:$G$1,0))</f>
        <v>14.85</v>
      </c>
      <c r="M582">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cm="1">
        <f t="array" ref="F583">_xlfn.XLOOKUP(C583,customers!$A$1:$A1582,customers!$B$1:$B1582,,0)</f>
        <v>Carney Clemencet</v>
      </c>
      <c r="G583" s="2" t="str">
        <f>IF(_xlfn.XLOOKUP(C583, customers!$A:$A, customers!$C:$C,,0)=0, "", _xlfn.XLOOKUP(C583, customers!$A:$A, customers!$C:$C,,0))</f>
        <v>cclemencetg5@weather.com</v>
      </c>
      <c r="H583" s="2" t="str">
        <f>_xlfn.XLOOKUP(C583, customers!$A:$A, customers!$G:$G,,0)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f>INDEX(products!$A$1:$G$49,MATCH(orders!$D583,products!$A$1:$A$49,0),MATCH(orders!L$1,products!$A$1:$G$1,0))</f>
        <v>8.91</v>
      </c>
      <c r="M583">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cm="1">
        <f t="array" ref="F584">_xlfn.XLOOKUP(C584,customers!$A$1:$A1583,customers!$B$1:$B1583,,0)</f>
        <v>Russell Donet</v>
      </c>
      <c r="G584" s="2" t="str">
        <f>IF(_xlfn.XLOOKUP(C584, customers!$A:$A, customers!$C:$C,,0)=0, "", _xlfn.XLOOKUP(C584, customers!$A:$A, customers!$C:$C,,0))</f>
        <v>rdonetg6@oakley.com</v>
      </c>
      <c r="H584" s="2" t="str">
        <f>_xlfn.XLOOKUP(C584, customers!$A:$A, customers!$G:$G,,0)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f>INDEX(products!$A$1:$G$49,MATCH(orders!$D584,products!$A$1:$A$49,0),MATCH(orders!L$1,products!$A$1:$G$1,0))</f>
        <v>12.15</v>
      </c>
      <c r="M584">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cm="1">
        <f t="array" ref="F585">_xlfn.XLOOKUP(C585,customers!$A$1:$A1584,customers!$B$1:$B1584,,0)</f>
        <v>Sidney Gawen</v>
      </c>
      <c r="G585" s="2" t="str">
        <f>IF(_xlfn.XLOOKUP(C585, customers!$A:$A, customers!$C:$C,,0)=0, "", _xlfn.XLOOKUP(C585, customers!$A:$A, customers!$C:$C,,0))</f>
        <v>sgaweng7@creativecommons.org</v>
      </c>
      <c r="H585" s="2" t="str">
        <f>_xlfn.XLOOKUP(C585, customers!$A:$A, customers!$G:$G,,0)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f>INDEX(products!$A$1:$G$49,MATCH(orders!$D585,products!$A$1:$A$49,0),MATCH(orders!L$1,products!$A$1:$G$1,0))</f>
        <v>3.5849999999999995</v>
      </c>
      <c r="M58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cm="1">
        <f t="array" ref="F586">_xlfn.XLOOKUP(C586,customers!$A$1:$A1585,customers!$B$1:$B1585,,0)</f>
        <v>Rickey Readie</v>
      </c>
      <c r="G586" s="2" t="str">
        <f>IF(_xlfn.XLOOKUP(C586, customers!$A:$A, customers!$C:$C,,0)=0, "", _xlfn.XLOOKUP(C586, customers!$A:$A, customers!$C:$C,,0))</f>
        <v>rreadieg8@guardian.co.uk</v>
      </c>
      <c r="H586" s="2" t="str">
        <f>_xlfn.XLOOKUP(C586, customers!$A:$A, customers!$G:$G,,0)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f>INDEX(products!$A$1:$G$49,MATCH(orders!$D586,products!$A$1:$A$49,0),MATCH(orders!L$1,products!$A$1:$G$1,0))</f>
        <v>3.5849999999999995</v>
      </c>
      <c r="M586">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cm="1">
        <f t="array" ref="F587">_xlfn.XLOOKUP(C587,customers!$A$1:$A1586,customers!$B$1:$B1586,,0)</f>
        <v>Cody Verissimo</v>
      </c>
      <c r="G587" s="2" t="str">
        <f>IF(_xlfn.XLOOKUP(C587, customers!$A:$A, customers!$C:$C,,0)=0, "", _xlfn.XLOOKUP(C587, customers!$A:$A, customers!$C:$C,,0))</f>
        <v>cverissimogh@theglobeandmail.com</v>
      </c>
      <c r="H587" s="2" t="str">
        <f>_xlfn.XLOOKUP(C587, customers!$A:$A, customers!$G:$G,,0)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f>INDEX(products!$A$1:$G$49,MATCH(orders!$D587,products!$A$1:$A$49,0),MATCH(orders!L$1,products!$A$1:$G$1,0))</f>
        <v>8.25</v>
      </c>
      <c r="M587">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cm="1">
        <f t="array" ref="F588">_xlfn.XLOOKUP(C588,customers!$A$1:$A1587,customers!$B$1:$B1587,,0)</f>
        <v>Zilvia Claisse</v>
      </c>
      <c r="G588" s="2" t="str">
        <f>IF(_xlfn.XLOOKUP(C588, customers!$A:$A, customers!$C:$C,,0)=0, "", _xlfn.XLOOKUP(C588, customers!$A:$A, customers!$C:$C,,0))</f>
        <v/>
      </c>
      <c r="H588" s="2" t="str">
        <f>_xlfn.XLOOKUP(C588, customers!$A:$A, customers!$G:$G,,0)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f>INDEX(products!$A$1:$G$49,MATCH(orders!$D588,products!$A$1:$A$49,0),MATCH(orders!L$1,products!$A$1:$G$1,0))</f>
        <v>27.484999999999996</v>
      </c>
      <c r="M588">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cm="1">
        <f t="array" ref="F589">_xlfn.XLOOKUP(C589,customers!$A$1:$A1588,customers!$B$1:$B1588,,0)</f>
        <v>Bar O' Mahony</v>
      </c>
      <c r="G589" s="2" t="str">
        <f>IF(_xlfn.XLOOKUP(C589, customers!$A:$A, customers!$C:$C,,0)=0, "", _xlfn.XLOOKUP(C589, customers!$A:$A, customers!$C:$C,,0))</f>
        <v>bogb@elpais.com</v>
      </c>
      <c r="H589" s="2" t="str">
        <f>_xlfn.XLOOKUP(C589, customers!$A:$A, customers!$G:$G,,0)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f>INDEX(products!$A$1:$G$49,MATCH(orders!$D589,products!$A$1:$A$49,0),MATCH(orders!L$1,products!$A$1:$G$1,0))</f>
        <v>7.77</v>
      </c>
      <c r="M589">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cm="1">
        <f t="array" ref="F590">_xlfn.XLOOKUP(C590,customers!$A$1:$A1589,customers!$B$1:$B1589,,0)</f>
        <v>Valenka Stansbury</v>
      </c>
      <c r="G590" s="2" t="str">
        <f>IF(_xlfn.XLOOKUP(C590, customers!$A:$A, customers!$C:$C,,0)=0, "", _xlfn.XLOOKUP(C590, customers!$A:$A, customers!$C:$C,,0))</f>
        <v>vstansburygc@unblog.fr</v>
      </c>
      <c r="H590" s="2" t="str">
        <f>_xlfn.XLOOKUP(C590, customers!$A:$A, customers!$G:$G,,0)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f>INDEX(products!$A$1:$G$49,MATCH(orders!$D590,products!$A$1:$A$49,0),MATCH(orders!L$1,products!$A$1:$G$1,0))</f>
        <v>5.97</v>
      </c>
      <c r="M590">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cm="1">
        <f t="array" ref="F591">_xlfn.XLOOKUP(C591,customers!$A$1:$A1590,customers!$B$1:$B1590,,0)</f>
        <v>Daniel Heinonen</v>
      </c>
      <c r="G591" s="2" t="str">
        <f>IF(_xlfn.XLOOKUP(C591, customers!$A:$A, customers!$C:$C,,0)=0, "", _xlfn.XLOOKUP(C591, customers!$A:$A, customers!$C:$C,,0))</f>
        <v>dheinonengd@printfriendly.com</v>
      </c>
      <c r="H591" s="2" t="str">
        <f>_xlfn.XLOOKUP(C591, customers!$A:$A, customers!$G:$G,,0)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f>INDEX(products!$A$1:$G$49,MATCH(orders!$D591,products!$A$1:$A$49,0),MATCH(orders!L$1,products!$A$1:$G$1,0))</f>
        <v>34.154999999999994</v>
      </c>
      <c r="M591">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cm="1">
        <f t="array" ref="F592">_xlfn.XLOOKUP(C592,customers!$A$1:$A1591,customers!$B$1:$B1591,,0)</f>
        <v>Jewelle Shenton</v>
      </c>
      <c r="G592" s="2" t="str">
        <f>IF(_xlfn.XLOOKUP(C592, customers!$A:$A, customers!$C:$C,,0)=0, "", _xlfn.XLOOKUP(C592, customers!$A:$A, customers!$C:$C,,0))</f>
        <v>jshentonge@google.com.hk</v>
      </c>
      <c r="H592" s="2" t="str">
        <f>_xlfn.XLOOKUP(C592, customers!$A:$A, customers!$G:$G,,0)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f>INDEX(products!$A$1:$G$49,MATCH(orders!$D592,products!$A$1:$A$49,0),MATCH(orders!L$1,products!$A$1:$G$1,0))</f>
        <v>31.624999999999996</v>
      </c>
      <c r="M592">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cm="1">
        <f t="array" ref="F593">_xlfn.XLOOKUP(C593,customers!$A$1:$A1592,customers!$B$1:$B1592,,0)</f>
        <v>Jennifer Wilkisson</v>
      </c>
      <c r="G593" s="2" t="str">
        <f>IF(_xlfn.XLOOKUP(C593, customers!$A:$A, customers!$C:$C,,0)=0, "", _xlfn.XLOOKUP(C593, customers!$A:$A, customers!$C:$C,,0))</f>
        <v>jwilkissongf@nba.com</v>
      </c>
      <c r="H593" s="2" t="str">
        <f>_xlfn.XLOOKUP(C593, customers!$A:$A, customers!$G:$G,,0)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f>INDEX(products!$A$1:$G$49,MATCH(orders!$D593,products!$A$1:$A$49,0),MATCH(orders!L$1,products!$A$1:$G$1,0))</f>
        <v>2.6849999999999996</v>
      </c>
      <c r="M593">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cm="1">
        <f t="array" ref="F594">_xlfn.XLOOKUP(C594,customers!$A$1:$A1593,customers!$B$1:$B1593,,0)</f>
        <v>Kylie Mowat</v>
      </c>
      <c r="G594" s="2" t="str">
        <f>IF(_xlfn.XLOOKUP(C594, customers!$A:$A, customers!$C:$C,,0)=0, "", _xlfn.XLOOKUP(C594, customers!$A:$A, customers!$C:$C,,0))</f>
        <v/>
      </c>
      <c r="H594" s="2" t="str">
        <f>_xlfn.XLOOKUP(C594, customers!$A:$A, customers!$G:$G,,0)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f>INDEX(products!$A$1:$G$49,MATCH(orders!$D594,products!$A$1:$A$49,0),MATCH(orders!L$1,products!$A$1:$G$1,0))</f>
        <v>25.874999999999996</v>
      </c>
      <c r="M594">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cm="1">
        <f t="array" ref="F595">_xlfn.XLOOKUP(C595,customers!$A$1:$A1594,customers!$B$1:$B1594,,0)</f>
        <v>Cody Verissimo</v>
      </c>
      <c r="G595" s="2" t="str">
        <f>IF(_xlfn.XLOOKUP(C595, customers!$A:$A, customers!$C:$C,,0)=0, "", _xlfn.XLOOKUP(C595, customers!$A:$A, customers!$C:$C,,0))</f>
        <v>cverissimogh@theglobeandmail.com</v>
      </c>
      <c r="H595" s="2" t="str">
        <f>_xlfn.XLOOKUP(C595, customers!$A:$A, customers!$G:$G,,0)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f>INDEX(products!$A$1:$G$49,MATCH(orders!$D595,products!$A$1:$A$49,0),MATCH(orders!L$1,products!$A$1:$G$1,0))</f>
        <v>27.945</v>
      </c>
      <c r="M59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cm="1">
        <f t="array" ref="F596">_xlfn.XLOOKUP(C596,customers!$A$1:$A1595,customers!$B$1:$B1595,,0)</f>
        <v>Gabriel Starcks</v>
      </c>
      <c r="G596" s="2" t="str">
        <f>IF(_xlfn.XLOOKUP(C596, customers!$A:$A, customers!$C:$C,,0)=0, "", _xlfn.XLOOKUP(C596, customers!$A:$A, customers!$C:$C,,0))</f>
        <v>gstarcksgi@abc.net.au</v>
      </c>
      <c r="H596" s="2" t="str">
        <f>_xlfn.XLOOKUP(C596, customers!$A:$A, customers!$G:$G,,0)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f>INDEX(products!$A$1:$G$49,MATCH(orders!$D596,products!$A$1:$A$49,0),MATCH(orders!L$1,products!$A$1:$G$1,0))</f>
        <v>29.784999999999997</v>
      </c>
      <c r="M596">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cm="1">
        <f t="array" ref="F597">_xlfn.XLOOKUP(C597,customers!$A$1:$A1596,customers!$B$1:$B1596,,0)</f>
        <v>Darby Dummer</v>
      </c>
      <c r="G597" s="2" t="str">
        <f>IF(_xlfn.XLOOKUP(C597, customers!$A:$A, customers!$C:$C,,0)=0, "", _xlfn.XLOOKUP(C597, customers!$A:$A, customers!$C:$C,,0))</f>
        <v/>
      </c>
      <c r="H597" s="2" t="str">
        <f>_xlfn.XLOOKUP(C597, customers!$A:$A, customers!$G:$G,,0)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f>INDEX(products!$A$1:$G$49,MATCH(orders!$D597,products!$A$1:$A$49,0),MATCH(orders!L$1,products!$A$1:$G$1,0))</f>
        <v>14.85</v>
      </c>
      <c r="M597">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cm="1">
        <f t="array" ref="F598">_xlfn.XLOOKUP(C598,customers!$A$1:$A1597,customers!$B$1:$B1597,,0)</f>
        <v>Kienan Scholard</v>
      </c>
      <c r="G598" s="2" t="str">
        <f>IF(_xlfn.XLOOKUP(C598, customers!$A:$A, customers!$C:$C,,0)=0, "", _xlfn.XLOOKUP(C598, customers!$A:$A, customers!$C:$C,,0))</f>
        <v>kscholardgk@sbwire.com</v>
      </c>
      <c r="H598" s="2" t="str">
        <f>_xlfn.XLOOKUP(C598, customers!$A:$A, customers!$G:$G,,0)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f>INDEX(products!$A$1:$G$49,MATCH(orders!$D598,products!$A$1:$A$49,0),MATCH(orders!L$1,products!$A$1:$G$1,0))</f>
        <v>6.75</v>
      </c>
      <c r="M598">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cm="1">
        <f t="array" ref="F599">_xlfn.XLOOKUP(C599,customers!$A$1:$A1598,customers!$B$1:$B1598,,0)</f>
        <v>Bo Kindley</v>
      </c>
      <c r="G599" s="2" t="str">
        <f>IF(_xlfn.XLOOKUP(C599, customers!$A:$A, customers!$C:$C,,0)=0, "", _xlfn.XLOOKUP(C599, customers!$A:$A, customers!$C:$C,,0))</f>
        <v>bkindleygl@wikimedia.org</v>
      </c>
      <c r="H599" s="2" t="str">
        <f>_xlfn.XLOOKUP(C599, customers!$A:$A, customers!$G:$G,,0)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f>INDEX(products!$A$1:$G$49,MATCH(orders!$D599,products!$A$1:$A$49,0),MATCH(orders!L$1,products!$A$1:$G$1,0))</f>
        <v>36.454999999999998</v>
      </c>
      <c r="M599">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cm="1">
        <f t="array" ref="F600">_xlfn.XLOOKUP(C600,customers!$A$1:$A1599,customers!$B$1:$B1599,,0)</f>
        <v>Krissie Hammett</v>
      </c>
      <c r="G600" s="2" t="str">
        <f>IF(_xlfn.XLOOKUP(C600, customers!$A:$A, customers!$C:$C,,0)=0, "", _xlfn.XLOOKUP(C600, customers!$A:$A, customers!$C:$C,,0))</f>
        <v>khammettgm@dmoz.org</v>
      </c>
      <c r="H600" s="2" t="str">
        <f>_xlfn.XLOOKUP(C600, customers!$A:$A, customers!$G:$G,,0)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f>INDEX(products!$A$1:$G$49,MATCH(orders!$D600,products!$A$1:$A$49,0),MATCH(orders!L$1,products!$A$1:$G$1,0))</f>
        <v>2.9849999999999999</v>
      </c>
      <c r="M600">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cm="1">
        <f t="array" ref="F601">_xlfn.XLOOKUP(C601,customers!$A$1:$A1600,customers!$B$1:$B1600,,0)</f>
        <v>Alisha Hulburt</v>
      </c>
      <c r="G601" s="2" t="str">
        <f>IF(_xlfn.XLOOKUP(C601, customers!$A:$A, customers!$C:$C,,0)=0, "", _xlfn.XLOOKUP(C601, customers!$A:$A, customers!$C:$C,,0))</f>
        <v>ahulburtgn@fda.gov</v>
      </c>
      <c r="H601" s="2" t="str">
        <f>_xlfn.XLOOKUP(C601, customers!$A:$A, customers!$G:$G,,0)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f>INDEX(products!$A$1:$G$49,MATCH(orders!$D601,products!$A$1:$A$49,0),MATCH(orders!L$1,products!$A$1:$G$1,0))</f>
        <v>2.9849999999999999</v>
      </c>
      <c r="M601">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cm="1">
        <f t="array" ref="F602">_xlfn.XLOOKUP(C602,customers!$A$1:$A1601,customers!$B$1:$B1601,,0)</f>
        <v>Peyter Lauritzen</v>
      </c>
      <c r="G602" s="2" t="str">
        <f>IF(_xlfn.XLOOKUP(C602, customers!$A:$A, customers!$C:$C,,0)=0, "", _xlfn.XLOOKUP(C602, customers!$A:$A, customers!$C:$C,,0))</f>
        <v>plauritzengo@photobucket.com</v>
      </c>
      <c r="H602" s="2" t="str">
        <f>_xlfn.XLOOKUP(C602, customers!$A:$A, customers!$G:$G,,0)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f>INDEX(products!$A$1:$G$49,MATCH(orders!$D602,products!$A$1:$A$49,0),MATCH(orders!L$1,products!$A$1:$G$1,0))</f>
        <v>7.77</v>
      </c>
      <c r="M602">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cm="1">
        <f t="array" ref="F603">_xlfn.XLOOKUP(C603,customers!$A$1:$A1602,customers!$B$1:$B1602,,0)</f>
        <v>Aurelia Burgwin</v>
      </c>
      <c r="G603" s="2" t="str">
        <f>IF(_xlfn.XLOOKUP(C603, customers!$A:$A, customers!$C:$C,,0)=0, "", _xlfn.XLOOKUP(C603, customers!$A:$A, customers!$C:$C,,0))</f>
        <v>aburgwingp@redcross.org</v>
      </c>
      <c r="H603" s="2" t="str">
        <f>_xlfn.XLOOKUP(C603, customers!$A:$A, customers!$G:$G,,0)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f>INDEX(products!$A$1:$G$49,MATCH(orders!$D603,products!$A$1:$A$49,0),MATCH(orders!L$1,products!$A$1:$G$1,0))</f>
        <v>27.484999999999996</v>
      </c>
      <c r="M603">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cm="1">
        <f t="array" ref="F604">_xlfn.XLOOKUP(C604,customers!$A$1:$A1603,customers!$B$1:$B1603,,0)</f>
        <v>Emalee Rolin</v>
      </c>
      <c r="G604" s="2" t="str">
        <f>IF(_xlfn.XLOOKUP(C604, customers!$A:$A, customers!$C:$C,,0)=0, "", _xlfn.XLOOKUP(C604, customers!$A:$A, customers!$C:$C,,0))</f>
        <v>erolingq@google.fr</v>
      </c>
      <c r="H604" s="2" t="str">
        <f>_xlfn.XLOOKUP(C604, customers!$A:$A, customers!$G:$G,,0)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f>INDEX(products!$A$1:$G$49,MATCH(orders!$D604,products!$A$1:$A$49,0),MATCH(orders!L$1,products!$A$1:$G$1,0))</f>
        <v>4.4550000000000001</v>
      </c>
      <c r="M604">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cm="1">
        <f t="array" ref="F605">_xlfn.XLOOKUP(C605,customers!$A$1:$A1604,customers!$B$1:$B1604,,0)</f>
        <v>Donavon Fowle</v>
      </c>
      <c r="G605" s="2" t="str">
        <f>IF(_xlfn.XLOOKUP(C605, customers!$A:$A, customers!$C:$C,,0)=0, "", _xlfn.XLOOKUP(C605, customers!$A:$A, customers!$C:$C,,0))</f>
        <v>dfowlegr@epa.gov</v>
      </c>
      <c r="H605" s="2" t="str">
        <f>_xlfn.XLOOKUP(C605, customers!$A:$A, customers!$G:$G,,0)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f>INDEX(products!$A$1:$G$49,MATCH(orders!$D605,products!$A$1:$A$49,0),MATCH(orders!L$1,products!$A$1:$G$1,0))</f>
        <v>2.9849999999999999</v>
      </c>
      <c r="M60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cm="1">
        <f t="array" ref="F606">_xlfn.XLOOKUP(C606,customers!$A$1:$A1605,customers!$B$1:$B1605,,0)</f>
        <v>Jorge Bettison</v>
      </c>
      <c r="G606" s="2" t="str">
        <f>IF(_xlfn.XLOOKUP(C606, customers!$A:$A, customers!$C:$C,,0)=0, "", _xlfn.XLOOKUP(C606, customers!$A:$A, customers!$C:$C,,0))</f>
        <v/>
      </c>
      <c r="H606" s="2" t="str">
        <f>_xlfn.XLOOKUP(C606, customers!$A:$A, customers!$G:$G,,0)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f>INDEX(products!$A$1:$G$49,MATCH(orders!$D606,products!$A$1:$A$49,0),MATCH(orders!L$1,products!$A$1:$G$1,0))</f>
        <v>29.784999999999997</v>
      </c>
      <c r="M606">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cm="1">
        <f t="array" ref="F607">_xlfn.XLOOKUP(C607,customers!$A$1:$A1606,customers!$B$1:$B1606,,0)</f>
        <v>Wang Powlesland</v>
      </c>
      <c r="G607" s="2" t="str">
        <f>IF(_xlfn.XLOOKUP(C607, customers!$A:$A, customers!$C:$C,,0)=0, "", _xlfn.XLOOKUP(C607, customers!$A:$A, customers!$C:$C,,0))</f>
        <v>wpowleslandgt@soundcloud.com</v>
      </c>
      <c r="H607" s="2" t="str">
        <f>_xlfn.XLOOKUP(C607, customers!$A:$A, customers!$G:$G,,0)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f>INDEX(products!$A$1:$G$49,MATCH(orders!$D607,products!$A$1:$A$49,0),MATCH(orders!L$1,products!$A$1:$G$1,0))</f>
        <v>29.784999999999997</v>
      </c>
      <c r="M607">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cm="1">
        <f t="array" ref="F608">_xlfn.XLOOKUP(C608,customers!$A$1:$A1607,customers!$B$1:$B1607,,0)</f>
        <v>Cody Verissimo</v>
      </c>
      <c r="G608" s="2" t="str">
        <f>IF(_xlfn.XLOOKUP(C608, customers!$A:$A, customers!$C:$C,,0)=0, "", _xlfn.XLOOKUP(C608, customers!$A:$A, customers!$C:$C,,0))</f>
        <v>cverissimogh@theglobeandmail.com</v>
      </c>
      <c r="H608" s="2" t="str">
        <f>_xlfn.XLOOKUP(C608, customers!$A:$A, customers!$G:$G,,0)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f>INDEX(products!$A$1:$G$49,MATCH(orders!$D608,products!$A$1:$A$49,0),MATCH(orders!L$1,products!$A$1:$G$1,0))</f>
        <v>36.454999999999998</v>
      </c>
      <c r="M608">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cm="1">
        <f t="array" ref="F609">_xlfn.XLOOKUP(C609,customers!$A$1:$A1608,customers!$B$1:$B1608,,0)</f>
        <v>Laurence Ellingham</v>
      </c>
      <c r="G609" s="2" t="str">
        <f>IF(_xlfn.XLOOKUP(C609, customers!$A:$A, customers!$C:$C,,0)=0, "", _xlfn.XLOOKUP(C609, customers!$A:$A, customers!$C:$C,,0))</f>
        <v>lellinghamgv@sciencedaily.com</v>
      </c>
      <c r="H609" s="2" t="str">
        <f>_xlfn.XLOOKUP(C609, customers!$A:$A, customers!$G:$G,,0)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f>INDEX(products!$A$1:$G$49,MATCH(orders!$D609,products!$A$1:$A$49,0),MATCH(orders!L$1,products!$A$1:$G$1,0))</f>
        <v>3.645</v>
      </c>
      <c r="M609">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cm="1">
        <f t="array" ref="F610">_xlfn.XLOOKUP(C610,customers!$A$1:$A1609,customers!$B$1:$B1609,,0)</f>
        <v>Billy Neiland</v>
      </c>
      <c r="G610" s="2" t="str">
        <f>IF(_xlfn.XLOOKUP(C610, customers!$A:$A, customers!$C:$C,,0)=0, "", _xlfn.XLOOKUP(C610, customers!$A:$A, customers!$C:$C,,0))</f>
        <v/>
      </c>
      <c r="H610" s="2" t="str">
        <f>_xlfn.XLOOKUP(C610, customers!$A:$A, customers!$G:$G,,0)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f>INDEX(products!$A$1:$G$49,MATCH(orders!$D610,products!$A$1:$A$49,0),MATCH(orders!L$1,products!$A$1:$G$1,0))</f>
        <v>27.945</v>
      </c>
      <c r="M610">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cm="1">
        <f t="array" ref="F611">_xlfn.XLOOKUP(C611,customers!$A$1:$A1610,customers!$B$1:$B1610,,0)</f>
        <v>Ancell Fendt</v>
      </c>
      <c r="G611" s="2" t="str">
        <f>IF(_xlfn.XLOOKUP(C611, customers!$A:$A, customers!$C:$C,,0)=0, "", _xlfn.XLOOKUP(C611, customers!$A:$A, customers!$C:$C,,0))</f>
        <v>afendtgx@forbes.com</v>
      </c>
      <c r="H611" s="2" t="str">
        <f>_xlfn.XLOOKUP(C611, customers!$A:$A, customers!$G:$G,,0)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f>INDEX(products!$A$1:$G$49,MATCH(orders!$D611,products!$A$1:$A$49,0),MATCH(orders!L$1,products!$A$1:$G$1,0))</f>
        <v>4.3650000000000002</v>
      </c>
      <c r="M611">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cm="1">
        <f t="array" ref="F612">_xlfn.XLOOKUP(C612,customers!$A$1:$A1611,customers!$B$1:$B1611,,0)</f>
        <v>Angelia Cleyburn</v>
      </c>
      <c r="G612" s="2" t="str">
        <f>IF(_xlfn.XLOOKUP(C612, customers!$A:$A, customers!$C:$C,,0)=0, "", _xlfn.XLOOKUP(C612, customers!$A:$A, customers!$C:$C,,0))</f>
        <v>acleyburngy@lycos.com</v>
      </c>
      <c r="H612" s="2" t="str">
        <f>_xlfn.XLOOKUP(C612, customers!$A:$A, customers!$G:$G,,0)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f>INDEX(products!$A$1:$G$49,MATCH(orders!$D612,products!$A$1:$A$49,0),MATCH(orders!L$1,products!$A$1:$G$1,0))</f>
        <v>9.9499999999999993</v>
      </c>
      <c r="M612">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cm="1">
        <f t="array" ref="F613">_xlfn.XLOOKUP(C613,customers!$A$1:$A1612,customers!$B$1:$B1612,,0)</f>
        <v>Temple Castiglione</v>
      </c>
      <c r="G613" s="2" t="str">
        <f>IF(_xlfn.XLOOKUP(C613, customers!$A:$A, customers!$C:$C,,0)=0, "", _xlfn.XLOOKUP(C613, customers!$A:$A, customers!$C:$C,,0))</f>
        <v>tcastiglionegz@xing.com</v>
      </c>
      <c r="H613" s="2" t="str">
        <f>_xlfn.XLOOKUP(C613, customers!$A:$A, customers!$G:$G,,0)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f>INDEX(products!$A$1:$G$49,MATCH(orders!$D613,products!$A$1:$A$49,0),MATCH(orders!L$1,products!$A$1:$G$1,0))</f>
        <v>34.154999999999994</v>
      </c>
      <c r="M613">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cm="1">
        <f t="array" ref="F614">_xlfn.XLOOKUP(C614,customers!$A$1:$A1613,customers!$B$1:$B1613,,0)</f>
        <v>Betti Lacasa</v>
      </c>
      <c r="G614" s="2" t="str">
        <f>IF(_xlfn.XLOOKUP(C614, customers!$A:$A, customers!$C:$C,,0)=0, "", _xlfn.XLOOKUP(C614, customers!$A:$A, customers!$C:$C,,0))</f>
        <v/>
      </c>
      <c r="H614" s="2" t="str">
        <f>_xlfn.XLOOKUP(C614, customers!$A:$A, customers!$G:$G,,0)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f>INDEX(products!$A$1:$G$49,MATCH(orders!$D614,products!$A$1:$A$49,0),MATCH(orders!L$1,products!$A$1:$G$1,0))</f>
        <v>3.375</v>
      </c>
      <c r="M614">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cm="1">
        <f t="array" ref="F615">_xlfn.XLOOKUP(C615,customers!$A$1:$A1614,customers!$B$1:$B1614,,0)</f>
        <v>Gunilla Lynch</v>
      </c>
      <c r="G615" s="2" t="str">
        <f>IF(_xlfn.XLOOKUP(C615, customers!$A:$A, customers!$C:$C,,0)=0, "", _xlfn.XLOOKUP(C615, customers!$A:$A, customers!$C:$C,,0))</f>
        <v/>
      </c>
      <c r="H615" s="2" t="str">
        <f>_xlfn.XLOOKUP(C615, customers!$A:$A, customers!$G:$G,,0)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f>INDEX(products!$A$1:$G$49,MATCH(orders!$D615,products!$A$1:$A$49,0),MATCH(orders!L$1,products!$A$1:$G$1,0))</f>
        <v>5.97</v>
      </c>
      <c r="M61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cm="1">
        <f t="array" ref="F616">_xlfn.XLOOKUP(C616,customers!$A$1:$A1615,customers!$B$1:$B1615,,0)</f>
        <v>Cody Verissimo</v>
      </c>
      <c r="G616" s="2" t="str">
        <f>IF(_xlfn.XLOOKUP(C616, customers!$A:$A, customers!$C:$C,,0)=0, "", _xlfn.XLOOKUP(C616, customers!$A:$A, customers!$C:$C,,0))</f>
        <v>cverissimogh@theglobeandmail.com</v>
      </c>
      <c r="H616" s="2" t="str">
        <f>_xlfn.XLOOKUP(C616, customers!$A:$A, customers!$G:$G,,0)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f>INDEX(products!$A$1:$G$49,MATCH(orders!$D616,products!$A$1:$A$49,0),MATCH(orders!L$1,products!$A$1:$G$1,0))</f>
        <v>5.97</v>
      </c>
      <c r="M616">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cm="1">
        <f t="array" ref="F617">_xlfn.XLOOKUP(C617,customers!$A$1:$A1616,customers!$B$1:$B1616,,0)</f>
        <v>Shay Couronne</v>
      </c>
      <c r="G617" s="2" t="str">
        <f>IF(_xlfn.XLOOKUP(C617, customers!$A:$A, customers!$C:$C,,0)=0, "", _xlfn.XLOOKUP(C617, customers!$A:$A, customers!$C:$C,,0))</f>
        <v>scouronneh3@mozilla.org</v>
      </c>
      <c r="H617" s="2" t="str">
        <f>_xlfn.XLOOKUP(C617, customers!$A:$A, customers!$G:$G,,0)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f>INDEX(products!$A$1:$G$49,MATCH(orders!$D617,products!$A$1:$A$49,0),MATCH(orders!L$1,products!$A$1:$G$1,0))</f>
        <v>36.454999999999998</v>
      </c>
      <c r="M617">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cm="1">
        <f t="array" ref="F618">_xlfn.XLOOKUP(C618,customers!$A$1:$A1617,customers!$B$1:$B1617,,0)</f>
        <v>Linus Flippelli</v>
      </c>
      <c r="G618" s="2" t="str">
        <f>IF(_xlfn.XLOOKUP(C618, customers!$A:$A, customers!$C:$C,,0)=0, "", _xlfn.XLOOKUP(C618, customers!$A:$A, customers!$C:$C,,0))</f>
        <v>lflippellih4@github.io</v>
      </c>
      <c r="H618" s="2" t="str">
        <f>_xlfn.XLOOKUP(C618, customers!$A:$A, customers!$G:$G,,0)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f>INDEX(products!$A$1:$G$49,MATCH(orders!$D618,products!$A$1:$A$49,0),MATCH(orders!L$1,products!$A$1:$G$1,0))</f>
        <v>31.624999999999996</v>
      </c>
      <c r="M618">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cm="1">
        <f t="array" ref="F619">_xlfn.XLOOKUP(C619,customers!$A$1:$A1618,customers!$B$1:$B1618,,0)</f>
        <v>Rachelle Elizabeth</v>
      </c>
      <c r="G619" s="2" t="str">
        <f>IF(_xlfn.XLOOKUP(C619, customers!$A:$A, customers!$C:$C,,0)=0, "", _xlfn.XLOOKUP(C619, customers!$A:$A, customers!$C:$C,,0))</f>
        <v>relizabethh5@live.com</v>
      </c>
      <c r="H619" s="2" t="str">
        <f>_xlfn.XLOOKUP(C619, customers!$A:$A, customers!$G:$G,,0)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f>INDEX(products!$A$1:$G$49,MATCH(orders!$D619,products!$A$1:$A$49,0),MATCH(orders!L$1,products!$A$1:$G$1,0))</f>
        <v>33.464999999999996</v>
      </c>
      <c r="M619">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cm="1">
        <f t="array" ref="F620">_xlfn.XLOOKUP(C620,customers!$A$1:$A1619,customers!$B$1:$B1619,,0)</f>
        <v>Innis Renhard</v>
      </c>
      <c r="G620" s="2" t="str">
        <f>IF(_xlfn.XLOOKUP(C620, customers!$A:$A, customers!$C:$C,,0)=0, "", _xlfn.XLOOKUP(C620, customers!$A:$A, customers!$C:$C,,0))</f>
        <v>irenhardh6@i2i.jp</v>
      </c>
      <c r="H620" s="2" t="str">
        <f>_xlfn.XLOOKUP(C620, customers!$A:$A, customers!$G:$G,,0)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f>INDEX(products!$A$1:$G$49,MATCH(orders!$D620,products!$A$1:$A$49,0),MATCH(orders!L$1,products!$A$1:$G$1,0))</f>
        <v>12.15</v>
      </c>
      <c r="M620">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cm="1">
        <f t="array" ref="F621">_xlfn.XLOOKUP(C621,customers!$A$1:$A1620,customers!$B$1:$B1620,,0)</f>
        <v>Winne Roche</v>
      </c>
      <c r="G621" s="2" t="str">
        <f>IF(_xlfn.XLOOKUP(C621, customers!$A:$A, customers!$C:$C,,0)=0, "", _xlfn.XLOOKUP(C621, customers!$A:$A, customers!$C:$C,,0))</f>
        <v>wrocheh7@xinhuanet.com</v>
      </c>
      <c r="H621" s="2" t="str">
        <f>_xlfn.XLOOKUP(C621, customers!$A:$A, customers!$G:$G,,0)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f>INDEX(products!$A$1:$G$49,MATCH(orders!$D621,products!$A$1:$A$49,0),MATCH(orders!L$1,products!$A$1:$G$1,0))</f>
        <v>7.77</v>
      </c>
      <c r="M621">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cm="1">
        <f t="array" ref="F622">_xlfn.XLOOKUP(C622,customers!$A$1:$A1621,customers!$B$1:$B1621,,0)</f>
        <v>Linn Alaway</v>
      </c>
      <c r="G622" s="2" t="str">
        <f>IF(_xlfn.XLOOKUP(C622, customers!$A:$A, customers!$C:$C,,0)=0, "", _xlfn.XLOOKUP(C622, customers!$A:$A, customers!$C:$C,,0))</f>
        <v>lalawayhh@weather.com</v>
      </c>
      <c r="H622" s="2" t="str">
        <f>_xlfn.XLOOKUP(C622, customers!$A:$A, customers!$G:$G,,0)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f>INDEX(products!$A$1:$G$49,MATCH(orders!$D622,products!$A$1:$A$49,0),MATCH(orders!L$1,products!$A$1:$G$1,0))</f>
        <v>3.375</v>
      </c>
      <c r="M622">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cm="1">
        <f t="array" ref="F623">_xlfn.XLOOKUP(C623,customers!$A$1:$A1622,customers!$B$1:$B1622,,0)</f>
        <v>Cordy Odgaard</v>
      </c>
      <c r="G623" s="2" t="str">
        <f>IF(_xlfn.XLOOKUP(C623, customers!$A:$A, customers!$C:$C,,0)=0, "", _xlfn.XLOOKUP(C623, customers!$A:$A, customers!$C:$C,,0))</f>
        <v>codgaardh9@nsw.gov.au</v>
      </c>
      <c r="H623" s="2" t="str">
        <f>_xlfn.XLOOKUP(C623, customers!$A:$A, customers!$G:$G,,0)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f>INDEX(products!$A$1:$G$49,MATCH(orders!$D623,products!$A$1:$A$49,0),MATCH(orders!L$1,products!$A$1:$G$1,0))</f>
        <v>12.95</v>
      </c>
      <c r="M623">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cm="1">
        <f t="array" ref="F624">_xlfn.XLOOKUP(C624,customers!$A$1:$A1623,customers!$B$1:$B1623,,0)</f>
        <v>Bertine Byrd</v>
      </c>
      <c r="G624" s="2" t="str">
        <f>IF(_xlfn.XLOOKUP(C624, customers!$A:$A, customers!$C:$C,,0)=0, "", _xlfn.XLOOKUP(C624, customers!$A:$A, customers!$C:$C,,0))</f>
        <v>bbyrdha@4shared.com</v>
      </c>
      <c r="H624" s="2" t="str">
        <f>_xlfn.XLOOKUP(C624, customers!$A:$A, customers!$G:$G,,0)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f>INDEX(products!$A$1:$G$49,MATCH(orders!$D624,products!$A$1:$A$49,0),MATCH(orders!L$1,products!$A$1:$G$1,0))</f>
        <v>33.464999999999996</v>
      </c>
      <c r="M624">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cm="1">
        <f t="array" ref="F625">_xlfn.XLOOKUP(C625,customers!$A$1:$A1624,customers!$B$1:$B1624,,0)</f>
        <v>Nelie Garnson</v>
      </c>
      <c r="G625" s="2" t="str">
        <f>IF(_xlfn.XLOOKUP(C625, customers!$A:$A, customers!$C:$C,,0)=0, "", _xlfn.XLOOKUP(C625, customers!$A:$A, customers!$C:$C,,0))</f>
        <v/>
      </c>
      <c r="H625" s="2" t="str">
        <f>_xlfn.XLOOKUP(C625, customers!$A:$A, customers!$G:$G,,0)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f>INDEX(products!$A$1:$G$49,MATCH(orders!$D625,products!$A$1:$A$49,0),MATCH(orders!L$1,products!$A$1:$G$1,0))</f>
        <v>12.15</v>
      </c>
      <c r="M62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cm="1">
        <f t="array" ref="F626">_xlfn.XLOOKUP(C626,customers!$A$1:$A1625,customers!$B$1:$B1625,,0)</f>
        <v>Dianne Chardin</v>
      </c>
      <c r="G626" s="2" t="str">
        <f>IF(_xlfn.XLOOKUP(C626, customers!$A:$A, customers!$C:$C,,0)=0, "", _xlfn.XLOOKUP(C626, customers!$A:$A, customers!$C:$C,,0))</f>
        <v>dchardinhc@nhs.uk</v>
      </c>
      <c r="H626" s="2" t="str">
        <f>_xlfn.XLOOKUP(C626, customers!$A:$A, customers!$G:$G,,0)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f>INDEX(products!$A$1:$G$49,MATCH(orders!$D626,products!$A$1:$A$49,0),MATCH(orders!L$1,products!$A$1:$G$1,0))</f>
        <v>31.624999999999996</v>
      </c>
      <c r="M626">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cm="1">
        <f t="array" ref="F627">_xlfn.XLOOKUP(C627,customers!$A$1:$A1626,customers!$B$1:$B1626,,0)</f>
        <v>Hailee Radbone</v>
      </c>
      <c r="G627" s="2" t="str">
        <f>IF(_xlfn.XLOOKUP(C627, customers!$A:$A, customers!$C:$C,,0)=0, "", _xlfn.XLOOKUP(C627, customers!$A:$A, customers!$C:$C,,0))</f>
        <v>hradbonehd@newsvine.com</v>
      </c>
      <c r="H627" s="2" t="str">
        <f>_xlfn.XLOOKUP(C627, customers!$A:$A, customers!$G:$G,,0)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f>INDEX(products!$A$1:$G$49,MATCH(orders!$D627,products!$A$1:$A$49,0),MATCH(orders!L$1,products!$A$1:$G$1,0))</f>
        <v>7.169999999999999</v>
      </c>
      <c r="M627">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cm="1">
        <f t="array" ref="F628">_xlfn.XLOOKUP(C628,customers!$A$1:$A1627,customers!$B$1:$B1627,,0)</f>
        <v>Wallis Bernth</v>
      </c>
      <c r="G628" s="2" t="str">
        <f>IF(_xlfn.XLOOKUP(C628, customers!$A:$A, customers!$C:$C,,0)=0, "", _xlfn.XLOOKUP(C628, customers!$A:$A, customers!$C:$C,,0))</f>
        <v>wbernthhe@miitbeian.gov.cn</v>
      </c>
      <c r="H628" s="2" t="str">
        <f>_xlfn.XLOOKUP(C628, customers!$A:$A, customers!$G:$G,,0)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f>INDEX(products!$A$1:$G$49,MATCH(orders!$D628,products!$A$1:$A$49,0),MATCH(orders!L$1,products!$A$1:$G$1,0))</f>
        <v>25.874999999999996</v>
      </c>
      <c r="M628">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cm="1">
        <f t="array" ref="F629">_xlfn.XLOOKUP(C629,customers!$A$1:$A1628,customers!$B$1:$B1628,,0)</f>
        <v>Byron Acarson</v>
      </c>
      <c r="G629" s="2" t="str">
        <f>IF(_xlfn.XLOOKUP(C629, customers!$A:$A, customers!$C:$C,,0)=0, "", _xlfn.XLOOKUP(C629, customers!$A:$A, customers!$C:$C,,0))</f>
        <v>bacarsonhf@cnn.com</v>
      </c>
      <c r="H629" s="2" t="str">
        <f>_xlfn.XLOOKUP(C629, customers!$A:$A, customers!$G:$G,,0)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f>INDEX(products!$A$1:$G$49,MATCH(orders!$D629,products!$A$1:$A$49,0),MATCH(orders!L$1,products!$A$1:$G$1,0))</f>
        <v>31.624999999999996</v>
      </c>
      <c r="M629">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cm="1">
        <f t="array" ref="F630">_xlfn.XLOOKUP(C630,customers!$A$1:$A1629,customers!$B$1:$B1629,,0)</f>
        <v>Faunie Brigham</v>
      </c>
      <c r="G630" s="2" t="str">
        <f>IF(_xlfn.XLOOKUP(C630, customers!$A:$A, customers!$C:$C,,0)=0, "", _xlfn.XLOOKUP(C630, customers!$A:$A, customers!$C:$C,,0))</f>
        <v>fbrighamhg@blog.com</v>
      </c>
      <c r="H630" s="2" t="str">
        <f>_xlfn.XLOOKUP(C630, customers!$A:$A, customers!$G:$G,,0)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f>INDEX(products!$A$1:$G$49,MATCH(orders!$D630,products!$A$1:$A$49,0),MATCH(orders!L$1,products!$A$1:$G$1,0))</f>
        <v>4.4550000000000001</v>
      </c>
      <c r="M630">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cm="1">
        <f t="array" ref="F631">_xlfn.XLOOKUP(C631,customers!$A$1:$A1630,customers!$B$1:$B1630,,0)</f>
        <v>Faunie Brigham</v>
      </c>
      <c r="G631" s="2" t="str">
        <f>IF(_xlfn.XLOOKUP(C631, customers!$A:$A, customers!$C:$C,,0)=0, "", _xlfn.XLOOKUP(C631, customers!$A:$A, customers!$C:$C,,0))</f>
        <v>fbrighamhg@blog.com</v>
      </c>
      <c r="H631" s="2" t="str">
        <f>_xlfn.XLOOKUP(C631, customers!$A:$A, customers!$G:$G,,0)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f>INDEX(products!$A$1:$G$49,MATCH(orders!$D631,products!$A$1:$A$49,0),MATCH(orders!L$1,products!$A$1:$G$1,0))</f>
        <v>7.77</v>
      </c>
      <c r="M631">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cm="1">
        <f t="array" ref="F632">_xlfn.XLOOKUP(C632,customers!$A$1:$A1631,customers!$B$1:$B1631,,0)</f>
        <v>Faunie Brigham</v>
      </c>
      <c r="G632" s="2" t="str">
        <f>IF(_xlfn.XLOOKUP(C632, customers!$A:$A, customers!$C:$C,,0)=0, "", _xlfn.XLOOKUP(C632, customers!$A:$A, customers!$C:$C,,0))</f>
        <v>fbrighamhg@blog.com</v>
      </c>
      <c r="H632" s="2" t="str">
        <f>_xlfn.XLOOKUP(C632, customers!$A:$A, customers!$G:$G,,0)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f>INDEX(products!$A$1:$G$49,MATCH(orders!$D632,products!$A$1:$A$49,0),MATCH(orders!L$1,products!$A$1:$G$1,0))</f>
        <v>2.9849999999999999</v>
      </c>
      <c r="M632">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cm="1">
        <f t="array" ref="F633">_xlfn.XLOOKUP(C633,customers!$A$1:$A1632,customers!$B$1:$B1632,,0)</f>
        <v>Faunie Brigham</v>
      </c>
      <c r="G633" s="2" t="str">
        <f>IF(_xlfn.XLOOKUP(C633, customers!$A:$A, customers!$C:$C,,0)=0, "", _xlfn.XLOOKUP(C633, customers!$A:$A, customers!$C:$C,,0))</f>
        <v>fbrighamhg@blog.com</v>
      </c>
      <c r="H633" s="2" t="str">
        <f>_xlfn.XLOOKUP(C633, customers!$A:$A, customers!$G:$G,,0)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f>INDEX(products!$A$1:$G$49,MATCH(orders!$D633,products!$A$1:$A$49,0),MATCH(orders!L$1,products!$A$1:$G$1,0))</f>
        <v>20.584999999999997</v>
      </c>
      <c r="M633">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cm="1">
        <f t="array" ref="F634">_xlfn.XLOOKUP(C634,customers!$A$1:$A1633,customers!$B$1:$B1633,,0)</f>
        <v>Marjorie Yoxen</v>
      </c>
      <c r="G634" s="2" t="str">
        <f>IF(_xlfn.XLOOKUP(C634, customers!$A:$A, customers!$C:$C,,0)=0, "", _xlfn.XLOOKUP(C634, customers!$A:$A, customers!$C:$C,,0))</f>
        <v>myoxenhk@google.com</v>
      </c>
      <c r="H634" s="2" t="str">
        <f>_xlfn.XLOOKUP(C634, customers!$A:$A, customers!$G:$G,,0)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f>INDEX(products!$A$1:$G$49,MATCH(orders!$D634,products!$A$1:$A$49,0),MATCH(orders!L$1,products!$A$1:$G$1,0))</f>
        <v>8.91</v>
      </c>
      <c r="M634">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cm="1">
        <f t="array" ref="F635">_xlfn.XLOOKUP(C635,customers!$A$1:$A1634,customers!$B$1:$B1634,,0)</f>
        <v>Gaspar McGavin</v>
      </c>
      <c r="G635" s="2" t="str">
        <f>IF(_xlfn.XLOOKUP(C635, customers!$A:$A, customers!$C:$C,,0)=0, "", _xlfn.XLOOKUP(C635, customers!$A:$A, customers!$C:$C,,0))</f>
        <v>gmcgavinhl@histats.com</v>
      </c>
      <c r="H635" s="2" t="str">
        <f>_xlfn.XLOOKUP(C635, customers!$A:$A, customers!$G:$G,,0)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f>INDEX(products!$A$1:$G$49,MATCH(orders!$D635,products!$A$1:$A$49,0),MATCH(orders!L$1,products!$A$1:$G$1,0))</f>
        <v>11.95</v>
      </c>
      <c r="M63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cm="1">
        <f t="array" ref="F636">_xlfn.XLOOKUP(C636,customers!$A$1:$A1635,customers!$B$1:$B1635,,0)</f>
        <v>Lindy Uttermare</v>
      </c>
      <c r="G636" s="2" t="str">
        <f>IF(_xlfn.XLOOKUP(C636, customers!$A:$A, customers!$C:$C,,0)=0, "", _xlfn.XLOOKUP(C636, customers!$A:$A, customers!$C:$C,,0))</f>
        <v>luttermarehm@engadget.com</v>
      </c>
      <c r="H636" s="2" t="str">
        <f>_xlfn.XLOOKUP(C636, customers!$A:$A, customers!$G:$G,,0)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f>INDEX(products!$A$1:$G$49,MATCH(orders!$D636,products!$A$1:$A$49,0),MATCH(orders!L$1,products!$A$1:$G$1,0))</f>
        <v>14.55</v>
      </c>
      <c r="M636">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cm="1">
        <f t="array" ref="F637">_xlfn.XLOOKUP(C637,customers!$A$1:$A1636,customers!$B$1:$B1636,,0)</f>
        <v>Eal D'Ambrogio</v>
      </c>
      <c r="G637" s="2" t="str">
        <f>IF(_xlfn.XLOOKUP(C637, customers!$A:$A, customers!$C:$C,,0)=0, "", _xlfn.XLOOKUP(C637, customers!$A:$A, customers!$C:$C,,0))</f>
        <v>edambrogiohn@techcrunch.com</v>
      </c>
      <c r="H637" s="2" t="str">
        <f>_xlfn.XLOOKUP(C637, customers!$A:$A, customers!$G:$G,,0)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f>INDEX(products!$A$1:$G$49,MATCH(orders!$D637,products!$A$1:$A$49,0),MATCH(orders!L$1,products!$A$1:$G$1,0))</f>
        <v>8.91</v>
      </c>
      <c r="M637">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cm="1">
        <f t="array" ref="F638">_xlfn.XLOOKUP(C638,customers!$A$1:$A1637,customers!$B$1:$B1637,,0)</f>
        <v>Carolee Winchcombe</v>
      </c>
      <c r="G638" s="2" t="str">
        <f>IF(_xlfn.XLOOKUP(C638, customers!$A:$A, customers!$C:$C,,0)=0, "", _xlfn.XLOOKUP(C638, customers!$A:$A, customers!$C:$C,,0))</f>
        <v>cwinchcombeho@jiathis.com</v>
      </c>
      <c r="H638" s="2" t="str">
        <f>_xlfn.XLOOKUP(C638, customers!$A:$A, customers!$G:$G,,0)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f>INDEX(products!$A$1:$G$49,MATCH(orders!$D638,products!$A$1:$A$49,0),MATCH(orders!L$1,products!$A$1:$G$1,0))</f>
        <v>15.85</v>
      </c>
      <c r="M638">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cm="1">
        <f t="array" ref="F639">_xlfn.XLOOKUP(C639,customers!$A$1:$A1638,customers!$B$1:$B1638,,0)</f>
        <v>Benedikta Paumier</v>
      </c>
      <c r="G639" s="2" t="str">
        <f>IF(_xlfn.XLOOKUP(C639, customers!$A:$A, customers!$C:$C,,0)=0, "", _xlfn.XLOOKUP(C639, customers!$A:$A, customers!$C:$C,,0))</f>
        <v>bpaumierhp@umn.edu</v>
      </c>
      <c r="H639" s="2" t="str">
        <f>_xlfn.XLOOKUP(C639, customers!$A:$A, customers!$G:$G,,0)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f>INDEX(products!$A$1:$G$49,MATCH(orders!$D639,products!$A$1:$A$49,0),MATCH(orders!L$1,products!$A$1:$G$1,0))</f>
        <v>31.624999999999996</v>
      </c>
      <c r="M639">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cm="1">
        <f t="array" ref="F640">_xlfn.XLOOKUP(C640,customers!$A$1:$A1639,customers!$B$1:$B1639,,0)</f>
        <v>Neville Piatto</v>
      </c>
      <c r="G640" s="2" t="str">
        <f>IF(_xlfn.XLOOKUP(C640, customers!$A:$A, customers!$C:$C,,0)=0, "", _xlfn.XLOOKUP(C640, customers!$A:$A, customers!$C:$C,,0))</f>
        <v/>
      </c>
      <c r="H640" s="2" t="str">
        <f>_xlfn.XLOOKUP(C640, customers!$A:$A, customers!$G:$G,,0)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f>INDEX(products!$A$1:$G$49,MATCH(orders!$D640,products!$A$1:$A$49,0),MATCH(orders!L$1,products!$A$1:$G$1,0))</f>
        <v>25.874999999999996</v>
      </c>
      <c r="M640">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cm="1">
        <f t="array" ref="F641">_xlfn.XLOOKUP(C641,customers!$A$1:$A1640,customers!$B$1:$B1640,,0)</f>
        <v>Jeno Capey</v>
      </c>
      <c r="G641" s="2" t="str">
        <f>IF(_xlfn.XLOOKUP(C641, customers!$A:$A, customers!$C:$C,,0)=0, "", _xlfn.XLOOKUP(C641, customers!$A:$A, customers!$C:$C,,0))</f>
        <v>jcapeyhr@bravesites.com</v>
      </c>
      <c r="H641" s="2" t="str">
        <f>_xlfn.XLOOKUP(C641, customers!$A:$A, customers!$G:$G,,0)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f>INDEX(products!$A$1:$G$49,MATCH(orders!$D641,products!$A$1:$A$49,0),MATCH(orders!L$1,products!$A$1:$G$1,0))</f>
        <v>3.8849999999999998</v>
      </c>
      <c r="M641">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cm="1">
        <f t="array" ref="F642">_xlfn.XLOOKUP(C642,customers!$A$1:$A1641,customers!$B$1:$B1641,,0)</f>
        <v>Tuckie Mathonnet</v>
      </c>
      <c r="G642" s="2" t="str">
        <f>IF(_xlfn.XLOOKUP(C642, customers!$A:$A, customers!$C:$C,,0)=0, "", _xlfn.XLOOKUP(C642, customers!$A:$A, customers!$C:$C,,0))</f>
        <v>tmathonneti0@google.co.jp</v>
      </c>
      <c r="H642" s="2" t="str">
        <f>_xlfn.XLOOKUP(C642, customers!$A:$A, customers!$G:$G,,0)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f>INDEX(products!$A$1:$G$49,MATCH(orders!$D642,products!$A$1:$A$49,0),MATCH(orders!L$1,products!$A$1:$G$1,0))</f>
        <v>27.484999999999996</v>
      </c>
      <c r="M642">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cm="1">
        <f t="array" ref="F643">_xlfn.XLOOKUP(C643,customers!$A$1:$A1642,customers!$B$1:$B1642,,0)</f>
        <v>Yardley Basill</v>
      </c>
      <c r="G643" s="2" t="str">
        <f>IF(_xlfn.XLOOKUP(C643, customers!$A:$A, customers!$C:$C,,0)=0, "", _xlfn.XLOOKUP(C643, customers!$A:$A, customers!$C:$C,,0))</f>
        <v>ybasillht@theguardian.com</v>
      </c>
      <c r="H643" s="2" t="str">
        <f>_xlfn.XLOOKUP(C643, customers!$A:$A, customers!$G:$G,,0)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f>INDEX(products!$A$1:$G$49,MATCH(orders!$D643,products!$A$1:$A$49,0),MATCH(orders!L$1,products!$A$1:$G$1,0))</f>
        <v>11.95</v>
      </c>
      <c r="M643">
        <f t="shared" ref="M643:M706" si="30">L643*E643</f>
        <v>35.849999999999994</v>
      </c>
      <c r="N643" t="str">
        <f t="shared" ref="N643:N706" si="31">IF(I643="Rob", "Robusta", IF(I643="Exc","Excelsa",IF(I643="Ara","Arabica", 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cm="1">
        <f t="array" ref="F644">_xlfn.XLOOKUP(C644,customers!$A$1:$A1643,customers!$B$1:$B1643,,0)</f>
        <v>Maggy Baistow</v>
      </c>
      <c r="G644" s="2" t="str">
        <f>IF(_xlfn.XLOOKUP(C644, customers!$A:$A, customers!$C:$C,,0)=0, "", _xlfn.XLOOKUP(C644, customers!$A:$A, customers!$C:$C,,0))</f>
        <v>mbaistowhu@i2i.jp</v>
      </c>
      <c r="H644" s="2" t="str">
        <f>_xlfn.XLOOKUP(C644, customers!$A:$A, customers!$G:$G,,0)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f>INDEX(products!$A$1:$G$49,MATCH(orders!$D644,products!$A$1:$A$49,0),MATCH(orders!L$1,products!$A$1:$G$1,0))</f>
        <v>4.125</v>
      </c>
      <c r="M644">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cm="1">
        <f t="array" ref="F645">_xlfn.XLOOKUP(C645,customers!$A$1:$A1644,customers!$B$1:$B1644,,0)</f>
        <v>Courtney Pallant</v>
      </c>
      <c r="G645" s="2" t="str">
        <f>IF(_xlfn.XLOOKUP(C645, customers!$A:$A, customers!$C:$C,,0)=0, "", _xlfn.XLOOKUP(C645, customers!$A:$A, customers!$C:$C,,0))</f>
        <v>cpallanthv@typepad.com</v>
      </c>
      <c r="H645" s="2" t="str">
        <f>_xlfn.XLOOKUP(C645, customers!$A:$A, customers!$G:$G,,0)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f>INDEX(products!$A$1:$G$49,MATCH(orders!$D645,products!$A$1:$A$49,0),MATCH(orders!L$1,products!$A$1:$G$1,0))</f>
        <v>34.154999999999994</v>
      </c>
      <c r="M64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cm="1">
        <f t="array" ref="F646">_xlfn.XLOOKUP(C646,customers!$A$1:$A1645,customers!$B$1:$B1645,,0)</f>
        <v>Marne Mingey</v>
      </c>
      <c r="G646" s="2" t="str">
        <f>IF(_xlfn.XLOOKUP(C646, customers!$A:$A, customers!$C:$C,,0)=0, "", _xlfn.XLOOKUP(C646, customers!$A:$A, customers!$C:$C,,0))</f>
        <v/>
      </c>
      <c r="H646" s="2" t="str">
        <f>_xlfn.XLOOKUP(C646, customers!$A:$A, customers!$G:$G,,0)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f>INDEX(products!$A$1:$G$49,MATCH(orders!$D646,products!$A$1:$A$49,0),MATCH(orders!L$1,products!$A$1:$G$1,0))</f>
        <v>20.584999999999997</v>
      </c>
      <c r="M646">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cm="1">
        <f t="array" ref="F647">_xlfn.XLOOKUP(C647,customers!$A$1:$A1646,customers!$B$1:$B1646,,0)</f>
        <v>Denny O' Ronan</v>
      </c>
      <c r="G647" s="2" t="str">
        <f>IF(_xlfn.XLOOKUP(C647, customers!$A:$A, customers!$C:$C,,0)=0, "", _xlfn.XLOOKUP(C647, customers!$A:$A, customers!$C:$C,,0))</f>
        <v>dohx@redcross.org</v>
      </c>
      <c r="H647" s="2" t="str">
        <f>_xlfn.XLOOKUP(C647, customers!$A:$A, customers!$G:$G,,0)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f>INDEX(products!$A$1:$G$49,MATCH(orders!$D647,products!$A$1:$A$49,0),MATCH(orders!L$1,products!$A$1:$G$1,0))</f>
        <v>22.884999999999998</v>
      </c>
      <c r="M647">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cm="1">
        <f t="array" ref="F648">_xlfn.XLOOKUP(C648,customers!$A$1:$A1647,customers!$B$1:$B1647,,0)</f>
        <v>Dottie Rallin</v>
      </c>
      <c r="G648" s="2" t="str">
        <f>IF(_xlfn.XLOOKUP(C648, customers!$A:$A, customers!$C:$C,,0)=0, "", _xlfn.XLOOKUP(C648, customers!$A:$A, customers!$C:$C,,0))</f>
        <v>drallinhy@howstuffworks.com</v>
      </c>
      <c r="H648" s="2" t="str">
        <f>_xlfn.XLOOKUP(C648, customers!$A:$A, customers!$G:$G,,0)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f>INDEX(products!$A$1:$G$49,MATCH(orders!$D648,products!$A$1:$A$49,0),MATCH(orders!L$1,products!$A$1:$G$1,0))</f>
        <v>9.9499999999999993</v>
      </c>
      <c r="M648">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cm="1">
        <f t="array" ref="F649">_xlfn.XLOOKUP(C649,customers!$A$1:$A1648,customers!$B$1:$B1648,,0)</f>
        <v>Ardith Chill</v>
      </c>
      <c r="G649" s="2" t="str">
        <f>IF(_xlfn.XLOOKUP(C649, customers!$A:$A, customers!$C:$C,,0)=0, "", _xlfn.XLOOKUP(C649, customers!$A:$A, customers!$C:$C,,0))</f>
        <v>achillhz@epa.gov</v>
      </c>
      <c r="H649" s="2" t="str">
        <f>_xlfn.XLOOKUP(C649, customers!$A:$A, customers!$G:$G,,0)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f>INDEX(products!$A$1:$G$49,MATCH(orders!$D649,products!$A$1:$A$49,0),MATCH(orders!L$1,products!$A$1:$G$1,0))</f>
        <v>9.51</v>
      </c>
      <c r="M649">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cm="1">
        <f t="array" ref="F650">_xlfn.XLOOKUP(C650,customers!$A$1:$A1649,customers!$B$1:$B1649,,0)</f>
        <v>Tuckie Mathonnet</v>
      </c>
      <c r="G650" s="2" t="str">
        <f>IF(_xlfn.XLOOKUP(C650, customers!$A:$A, customers!$C:$C,,0)=0, "", _xlfn.XLOOKUP(C650, customers!$A:$A, customers!$C:$C,,0))</f>
        <v>tmathonneti0@google.co.jp</v>
      </c>
      <c r="H650" s="2" t="str">
        <f>_xlfn.XLOOKUP(C650, customers!$A:$A, customers!$G:$G,,0)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f>INDEX(products!$A$1:$G$49,MATCH(orders!$D650,products!$A$1:$A$49,0),MATCH(orders!L$1,products!$A$1:$G$1,0))</f>
        <v>2.6849999999999996</v>
      </c>
      <c r="M650">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cm="1">
        <f t="array" ref="F651">_xlfn.XLOOKUP(C651,customers!$A$1:$A1650,customers!$B$1:$B1650,,0)</f>
        <v>Charmane Denys</v>
      </c>
      <c r="G651" s="2" t="str">
        <f>IF(_xlfn.XLOOKUP(C651, customers!$A:$A, customers!$C:$C,,0)=0, "", _xlfn.XLOOKUP(C651, customers!$A:$A, customers!$C:$C,,0))</f>
        <v>cdenysi1@is.gd</v>
      </c>
      <c r="H651" s="2" t="str">
        <f>_xlfn.XLOOKUP(C651, customers!$A:$A, customers!$G:$G,,0)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f>INDEX(products!$A$1:$G$49,MATCH(orders!$D651,products!$A$1:$A$49,0),MATCH(orders!L$1,products!$A$1:$G$1,0))</f>
        <v>15.85</v>
      </c>
      <c r="M651">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cm="1">
        <f t="array" ref="F652">_xlfn.XLOOKUP(C652,customers!$A$1:$A1651,customers!$B$1:$B1651,,0)</f>
        <v>Cecily Stebbings</v>
      </c>
      <c r="G652" s="2" t="str">
        <f>IF(_xlfn.XLOOKUP(C652, customers!$A:$A, customers!$C:$C,,0)=0, "", _xlfn.XLOOKUP(C652, customers!$A:$A, customers!$C:$C,,0))</f>
        <v>cstebbingsi2@drupal.org</v>
      </c>
      <c r="H652" s="2" t="str">
        <f>_xlfn.XLOOKUP(C652, customers!$A:$A, customers!$G:$G,,0)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f>INDEX(products!$A$1:$G$49,MATCH(orders!$D652,products!$A$1:$A$49,0),MATCH(orders!L$1,products!$A$1:$G$1,0))</f>
        <v>5.3699999999999992</v>
      </c>
      <c r="M652">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cm="1">
        <f t="array" ref="F653">_xlfn.XLOOKUP(C653,customers!$A$1:$A1652,customers!$B$1:$B1652,,0)</f>
        <v>Giana Tonnesen</v>
      </c>
      <c r="G653" s="2" t="str">
        <f>IF(_xlfn.XLOOKUP(C653, customers!$A:$A, customers!$C:$C,,0)=0, "", _xlfn.XLOOKUP(C653, customers!$A:$A, customers!$C:$C,,0))</f>
        <v/>
      </c>
      <c r="H653" s="2" t="str">
        <f>_xlfn.XLOOKUP(C653, customers!$A:$A, customers!$G:$G,,0)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f>INDEX(products!$A$1:$G$49,MATCH(orders!$D653,products!$A$1:$A$49,0),MATCH(orders!L$1,products!$A$1:$G$1,0))</f>
        <v>11.95</v>
      </c>
      <c r="M653">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cm="1">
        <f t="array" ref="F654">_xlfn.XLOOKUP(C654,customers!$A$1:$A1653,customers!$B$1:$B1653,,0)</f>
        <v>Rhetta Zywicki</v>
      </c>
      <c r="G654" s="2" t="str">
        <f>IF(_xlfn.XLOOKUP(C654, customers!$A:$A, customers!$C:$C,,0)=0, "", _xlfn.XLOOKUP(C654, customers!$A:$A, customers!$C:$C,,0))</f>
        <v>rzywickii4@ifeng.com</v>
      </c>
      <c r="H654" s="2" t="str">
        <f>_xlfn.XLOOKUP(C654, customers!$A:$A, customers!$G:$G,,0)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f>INDEX(products!$A$1:$G$49,MATCH(orders!$D654,products!$A$1:$A$49,0),MATCH(orders!L$1,products!$A$1:$G$1,0))</f>
        <v>15.85</v>
      </c>
      <c r="M654">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cm="1">
        <f t="array" ref="F655">_xlfn.XLOOKUP(C655,customers!$A$1:$A1654,customers!$B$1:$B1654,,0)</f>
        <v>Almeria Burgett</v>
      </c>
      <c r="G655" s="2" t="str">
        <f>IF(_xlfn.XLOOKUP(C655, customers!$A:$A, customers!$C:$C,,0)=0, "", _xlfn.XLOOKUP(C655, customers!$A:$A, customers!$C:$C,,0))</f>
        <v>aburgetti5@moonfruit.com</v>
      </c>
      <c r="H655" s="2" t="str">
        <f>_xlfn.XLOOKUP(C655, customers!$A:$A, customers!$G:$G,,0)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f>INDEX(products!$A$1:$G$49,MATCH(orders!$D655,products!$A$1:$A$49,0),MATCH(orders!L$1,products!$A$1:$G$1,0))</f>
        <v>25.874999999999996</v>
      </c>
      <c r="M65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cm="1">
        <f t="array" ref="F656">_xlfn.XLOOKUP(C656,customers!$A$1:$A1655,customers!$B$1:$B1655,,0)</f>
        <v>Marvin Malloy</v>
      </c>
      <c r="G656" s="2" t="str">
        <f>IF(_xlfn.XLOOKUP(C656, customers!$A:$A, customers!$C:$C,,0)=0, "", _xlfn.XLOOKUP(C656, customers!$A:$A, customers!$C:$C,,0))</f>
        <v>mmalloyi6@seattletimes.com</v>
      </c>
      <c r="H656" s="2" t="str">
        <f>_xlfn.XLOOKUP(C656, customers!$A:$A, customers!$G:$G,,0)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f>INDEX(products!$A$1:$G$49,MATCH(orders!$D656,products!$A$1:$A$49,0),MATCH(orders!L$1,products!$A$1:$G$1,0))</f>
        <v>22.884999999999998</v>
      </c>
      <c r="M656">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cm="1">
        <f t="array" ref="F657">_xlfn.XLOOKUP(C657,customers!$A$1:$A1656,customers!$B$1:$B1656,,0)</f>
        <v>Maxim McParland</v>
      </c>
      <c r="G657" s="2" t="str">
        <f>IF(_xlfn.XLOOKUP(C657, customers!$A:$A, customers!$C:$C,,0)=0, "", _xlfn.XLOOKUP(C657, customers!$A:$A, customers!$C:$C,,0))</f>
        <v>mmcparlandi7@w3.org</v>
      </c>
      <c r="H657" s="2" t="str">
        <f>_xlfn.XLOOKUP(C657, customers!$A:$A, customers!$G:$G,,0)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f>INDEX(products!$A$1:$G$49,MATCH(orders!$D657,products!$A$1:$A$49,0),MATCH(orders!L$1,products!$A$1:$G$1,0))</f>
        <v>22.884999999999998</v>
      </c>
      <c r="M657">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cm="1">
        <f t="array" ref="F658">_xlfn.XLOOKUP(C658,customers!$A$1:$A1657,customers!$B$1:$B1657,,0)</f>
        <v>Sylas Jennaroy</v>
      </c>
      <c r="G658" s="2" t="str">
        <f>IF(_xlfn.XLOOKUP(C658, customers!$A:$A, customers!$C:$C,,0)=0, "", _xlfn.XLOOKUP(C658, customers!$A:$A, customers!$C:$C,,0))</f>
        <v>sjennaroyi8@purevolume.com</v>
      </c>
      <c r="H658" s="2" t="str">
        <f>_xlfn.XLOOKUP(C658, customers!$A:$A, customers!$G:$G,,0)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f>INDEX(products!$A$1:$G$49,MATCH(orders!$D658,products!$A$1:$A$49,0),MATCH(orders!L$1,products!$A$1:$G$1,0))</f>
        <v>12.95</v>
      </c>
      <c r="M658">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cm="1">
        <f t="array" ref="F659">_xlfn.XLOOKUP(C659,customers!$A$1:$A1658,customers!$B$1:$B1658,,0)</f>
        <v>Wren Place</v>
      </c>
      <c r="G659" s="2" t="str">
        <f>IF(_xlfn.XLOOKUP(C659, customers!$A:$A, customers!$C:$C,,0)=0, "", _xlfn.XLOOKUP(C659, customers!$A:$A, customers!$C:$C,,0))</f>
        <v>wplacei9@wsj.com</v>
      </c>
      <c r="H659" s="2" t="str">
        <f>_xlfn.XLOOKUP(C659, customers!$A:$A, customers!$G:$G,,0)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f>INDEX(products!$A$1:$G$49,MATCH(orders!$D659,products!$A$1:$A$49,0),MATCH(orders!L$1,products!$A$1:$G$1,0))</f>
        <v>6.75</v>
      </c>
      <c r="M659">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cm="1">
        <f t="array" ref="F660">_xlfn.XLOOKUP(C660,customers!$A$1:$A1659,customers!$B$1:$B1659,,0)</f>
        <v>Janella Millett</v>
      </c>
      <c r="G660" s="2" t="str">
        <f>IF(_xlfn.XLOOKUP(C660, customers!$A:$A, customers!$C:$C,,0)=0, "", _xlfn.XLOOKUP(C660, customers!$A:$A, customers!$C:$C,,0))</f>
        <v>jmillettik@addtoany.com</v>
      </c>
      <c r="H660" s="2" t="str">
        <f>_xlfn.XLOOKUP(C660, customers!$A:$A, customers!$G:$G,,0)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f>INDEX(products!$A$1:$G$49,MATCH(orders!$D660,products!$A$1:$A$49,0),MATCH(orders!L$1,products!$A$1:$G$1,0))</f>
        <v>8.25</v>
      </c>
      <c r="M660">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cm="1">
        <f t="array" ref="F661">_xlfn.XLOOKUP(C661,customers!$A$1:$A1660,customers!$B$1:$B1660,,0)</f>
        <v>Dollie Gadsden</v>
      </c>
      <c r="G661" s="2" t="str">
        <f>IF(_xlfn.XLOOKUP(C661, customers!$A:$A, customers!$C:$C,,0)=0, "", _xlfn.XLOOKUP(C661, customers!$A:$A, customers!$C:$C,,0))</f>
        <v>dgadsdenib@google.com.hk</v>
      </c>
      <c r="H661" s="2" t="str">
        <f>_xlfn.XLOOKUP(C661, customers!$A:$A, customers!$G:$G,,0)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f>INDEX(products!$A$1:$G$49,MATCH(orders!$D661,products!$A$1:$A$49,0),MATCH(orders!L$1,products!$A$1:$G$1,0))</f>
        <v>22.884999999999998</v>
      </c>
      <c r="M661">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cm="1">
        <f t="array" ref="F662">_xlfn.XLOOKUP(C662,customers!$A$1:$A1661,customers!$B$1:$B1661,,0)</f>
        <v>Val Wakelin</v>
      </c>
      <c r="G662" s="2" t="str">
        <f>IF(_xlfn.XLOOKUP(C662, customers!$A:$A, customers!$C:$C,,0)=0, "", _xlfn.XLOOKUP(C662, customers!$A:$A, customers!$C:$C,,0))</f>
        <v>vwakelinic@unesco.org</v>
      </c>
      <c r="H662" s="2" t="str">
        <f>_xlfn.XLOOKUP(C662, customers!$A:$A, customers!$G:$G,,0)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f>INDEX(products!$A$1:$G$49,MATCH(orders!$D662,products!$A$1:$A$49,0),MATCH(orders!L$1,products!$A$1:$G$1,0))</f>
        <v>8.91</v>
      </c>
      <c r="M662">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cm="1">
        <f t="array" ref="F663">_xlfn.XLOOKUP(C663,customers!$A$1:$A1662,customers!$B$1:$B1662,,0)</f>
        <v>Annie Campsall</v>
      </c>
      <c r="G663" s="2" t="str">
        <f>IF(_xlfn.XLOOKUP(C663, customers!$A:$A, customers!$C:$C,,0)=0, "", _xlfn.XLOOKUP(C663, customers!$A:$A, customers!$C:$C,,0))</f>
        <v>acampsallid@zimbio.com</v>
      </c>
      <c r="H663" s="2" t="str">
        <f>_xlfn.XLOOKUP(C663, customers!$A:$A, customers!$G:$G,,0)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f>INDEX(products!$A$1:$G$49,MATCH(orders!$D663,products!$A$1:$A$49,0),MATCH(orders!L$1,products!$A$1:$G$1,0))</f>
        <v>3.375</v>
      </c>
      <c r="M663">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cm="1">
        <f t="array" ref="F664">_xlfn.XLOOKUP(C664,customers!$A$1:$A1663,customers!$B$1:$B1663,,0)</f>
        <v>Shermy Moseby</v>
      </c>
      <c r="G664" s="2" t="str">
        <f>IF(_xlfn.XLOOKUP(C664, customers!$A:$A, customers!$C:$C,,0)=0, "", _xlfn.XLOOKUP(C664, customers!$A:$A, customers!$C:$C,,0))</f>
        <v>smosebyie@stanford.edu</v>
      </c>
      <c r="H664" s="2" t="str">
        <f>_xlfn.XLOOKUP(C664, customers!$A:$A, customers!$G:$G,,0)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f>INDEX(products!$A$1:$G$49,MATCH(orders!$D664,products!$A$1:$A$49,0),MATCH(orders!L$1,products!$A$1:$G$1,0))</f>
        <v>29.784999999999997</v>
      </c>
      <c r="M664">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cm="1">
        <f t="array" ref="F665">_xlfn.XLOOKUP(C665,customers!$A$1:$A1664,customers!$B$1:$B1664,,0)</f>
        <v>Corrie Wass</v>
      </c>
      <c r="G665" s="2" t="str">
        <f>IF(_xlfn.XLOOKUP(C665, customers!$A:$A, customers!$C:$C,,0)=0, "", _xlfn.XLOOKUP(C665, customers!$A:$A, customers!$C:$C,,0))</f>
        <v>cwassif@prweb.com</v>
      </c>
      <c r="H665" s="2" t="str">
        <f>_xlfn.XLOOKUP(C665, customers!$A:$A, customers!$G:$G,,0)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f>INDEX(products!$A$1:$G$49,MATCH(orders!$D665,products!$A$1:$A$49,0),MATCH(orders!L$1,products!$A$1:$G$1,0))</f>
        <v>11.25</v>
      </c>
      <c r="M66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cm="1">
        <f t="array" ref="F666">_xlfn.XLOOKUP(C666,customers!$A$1:$A1665,customers!$B$1:$B1665,,0)</f>
        <v>Ira Sjostrom</v>
      </c>
      <c r="G666" s="2" t="str">
        <f>IF(_xlfn.XLOOKUP(C666, customers!$A:$A, customers!$C:$C,,0)=0, "", _xlfn.XLOOKUP(C666, customers!$A:$A, customers!$C:$C,,0))</f>
        <v>isjostromig@pbs.org</v>
      </c>
      <c r="H666" s="2" t="str">
        <f>_xlfn.XLOOKUP(C666, customers!$A:$A, customers!$G:$G,,0)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f>INDEX(products!$A$1:$G$49,MATCH(orders!$D666,products!$A$1:$A$49,0),MATCH(orders!L$1,products!$A$1:$G$1,0))</f>
        <v>12.15</v>
      </c>
      <c r="M666">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cm="1">
        <f t="array" ref="F667">_xlfn.XLOOKUP(C667,customers!$A$1:$A1666,customers!$B$1:$B1666,,0)</f>
        <v>Ira Sjostrom</v>
      </c>
      <c r="G667" s="2" t="str">
        <f>IF(_xlfn.XLOOKUP(C667, customers!$A:$A, customers!$C:$C,,0)=0, "", _xlfn.XLOOKUP(C667, customers!$A:$A, customers!$C:$C,,0))</f>
        <v>isjostromig@pbs.org</v>
      </c>
      <c r="H667" s="2" t="str">
        <f>_xlfn.XLOOKUP(C667, customers!$A:$A, customers!$G:$G,,0)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f>INDEX(products!$A$1:$G$49,MATCH(orders!$D667,products!$A$1:$A$49,0),MATCH(orders!L$1,products!$A$1:$G$1,0))</f>
        <v>3.8849999999999998</v>
      </c>
      <c r="M667">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cm="1">
        <f t="array" ref="F668">_xlfn.XLOOKUP(C668,customers!$A$1:$A1667,customers!$B$1:$B1667,,0)</f>
        <v>Jermaine Branchett</v>
      </c>
      <c r="G668" s="2" t="str">
        <f>IF(_xlfn.XLOOKUP(C668, customers!$A:$A, customers!$C:$C,,0)=0, "", _xlfn.XLOOKUP(C668, customers!$A:$A, customers!$C:$C,,0))</f>
        <v>jbranchettii@bravesites.com</v>
      </c>
      <c r="H668" s="2" t="str">
        <f>_xlfn.XLOOKUP(C668, customers!$A:$A, customers!$G:$G,,0)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f>INDEX(products!$A$1:$G$49,MATCH(orders!$D668,products!$A$1:$A$49,0),MATCH(orders!L$1,products!$A$1:$G$1,0))</f>
        <v>22.884999999999998</v>
      </c>
      <c r="M668">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cm="1">
        <f t="array" ref="F669">_xlfn.XLOOKUP(C669,customers!$A$1:$A1668,customers!$B$1:$B1668,,0)</f>
        <v>Nissie Rudland</v>
      </c>
      <c r="G669" s="2" t="str">
        <f>IF(_xlfn.XLOOKUP(C669, customers!$A:$A, customers!$C:$C,,0)=0, "", _xlfn.XLOOKUP(C669, customers!$A:$A, customers!$C:$C,,0))</f>
        <v>nrudlandij@blogs.com</v>
      </c>
      <c r="H669" s="2" t="str">
        <f>_xlfn.XLOOKUP(C669, customers!$A:$A, customers!$G:$G,,0)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f>INDEX(products!$A$1:$G$49,MATCH(orders!$D669,products!$A$1:$A$49,0),MATCH(orders!L$1,products!$A$1:$G$1,0))</f>
        <v>9.9499999999999993</v>
      </c>
      <c r="M669">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cm="1">
        <f t="array" ref="F670">_xlfn.XLOOKUP(C670,customers!$A$1:$A1669,customers!$B$1:$B1669,,0)</f>
        <v>Janella Millett</v>
      </c>
      <c r="G670" s="2" t="str">
        <f>IF(_xlfn.XLOOKUP(C670, customers!$A:$A, customers!$C:$C,,0)=0, "", _xlfn.XLOOKUP(C670, customers!$A:$A, customers!$C:$C,,0))</f>
        <v>jmillettik@addtoany.com</v>
      </c>
      <c r="H670" s="2" t="str">
        <f>_xlfn.XLOOKUP(C670, customers!$A:$A, customers!$G:$G,,0)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f>INDEX(products!$A$1:$G$49,MATCH(orders!$D670,products!$A$1:$A$49,0),MATCH(orders!L$1,products!$A$1:$G$1,0))</f>
        <v>27.484999999999996</v>
      </c>
      <c r="M670">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cm="1">
        <f t="array" ref="F671">_xlfn.XLOOKUP(C671,customers!$A$1:$A1670,customers!$B$1:$B1670,,0)</f>
        <v>Ferdie Tourry</v>
      </c>
      <c r="G671" s="2" t="str">
        <f>IF(_xlfn.XLOOKUP(C671, customers!$A:$A, customers!$C:$C,,0)=0, "", _xlfn.XLOOKUP(C671, customers!$A:$A, customers!$C:$C,,0))</f>
        <v>ftourryil@google.de</v>
      </c>
      <c r="H671" s="2" t="str">
        <f>_xlfn.XLOOKUP(C671, customers!$A:$A, customers!$G:$G,,0)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f>INDEX(products!$A$1:$G$49,MATCH(orders!$D671,products!$A$1:$A$49,0),MATCH(orders!L$1,products!$A$1:$G$1,0))</f>
        <v>33.464999999999996</v>
      </c>
      <c r="M671">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cm="1">
        <f t="array" ref="F672">_xlfn.XLOOKUP(C672,customers!$A$1:$A1671,customers!$B$1:$B1671,,0)</f>
        <v>Cecil Weatherall</v>
      </c>
      <c r="G672" s="2" t="str">
        <f>IF(_xlfn.XLOOKUP(C672, customers!$A:$A, customers!$C:$C,,0)=0, "", _xlfn.XLOOKUP(C672, customers!$A:$A, customers!$C:$C,,0))</f>
        <v>cweatherallim@toplist.cz</v>
      </c>
      <c r="H672" s="2" t="str">
        <f>_xlfn.XLOOKUP(C672, customers!$A:$A, customers!$G:$G,,0)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f>INDEX(products!$A$1:$G$49,MATCH(orders!$D672,products!$A$1:$A$49,0),MATCH(orders!L$1,products!$A$1:$G$1,0))</f>
        <v>4.3650000000000002</v>
      </c>
      <c r="M672">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cm="1">
        <f t="array" ref="F673">_xlfn.XLOOKUP(C673,customers!$A$1:$A1672,customers!$B$1:$B1672,,0)</f>
        <v>Gale Heindrick</v>
      </c>
      <c r="G673" s="2" t="str">
        <f>IF(_xlfn.XLOOKUP(C673, customers!$A:$A, customers!$C:$C,,0)=0, "", _xlfn.XLOOKUP(C673, customers!$A:$A, customers!$C:$C,,0))</f>
        <v>gheindrickin@usda.gov</v>
      </c>
      <c r="H673" s="2" t="str">
        <f>_xlfn.XLOOKUP(C673, customers!$A:$A, customers!$G:$G,,0)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f>INDEX(products!$A$1:$G$49,MATCH(orders!$D673,products!$A$1:$A$49,0),MATCH(orders!L$1,products!$A$1:$G$1,0))</f>
        <v>11.95</v>
      </c>
      <c r="M673">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cm="1">
        <f t="array" ref="F674">_xlfn.XLOOKUP(C674,customers!$A$1:$A1673,customers!$B$1:$B1673,,0)</f>
        <v>Layne Imason</v>
      </c>
      <c r="G674" s="2" t="str">
        <f>IF(_xlfn.XLOOKUP(C674, customers!$A:$A, customers!$C:$C,,0)=0, "", _xlfn.XLOOKUP(C674, customers!$A:$A, customers!$C:$C,,0))</f>
        <v>limasonio@discuz.net</v>
      </c>
      <c r="H674" s="2" t="str">
        <f>_xlfn.XLOOKUP(C674, customers!$A:$A, customers!$G:$G,,0)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f>INDEX(products!$A$1:$G$49,MATCH(orders!$D674,products!$A$1:$A$49,0),MATCH(orders!L$1,products!$A$1:$G$1,0))</f>
        <v>8.73</v>
      </c>
      <c r="M674">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cm="1">
        <f t="array" ref="F675">_xlfn.XLOOKUP(C675,customers!$A$1:$A1674,customers!$B$1:$B1674,,0)</f>
        <v>Hazel Saill</v>
      </c>
      <c r="G675" s="2" t="str">
        <f>IF(_xlfn.XLOOKUP(C675, customers!$A:$A, customers!$C:$C,,0)=0, "", _xlfn.XLOOKUP(C675, customers!$A:$A, customers!$C:$C,,0))</f>
        <v>hsaillip@odnoklassniki.ru</v>
      </c>
      <c r="H675" s="2" t="str">
        <f>_xlfn.XLOOKUP(C675, customers!$A:$A, customers!$G:$G,,0)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f>INDEX(products!$A$1:$G$49,MATCH(orders!$D675,products!$A$1:$A$49,0),MATCH(orders!L$1,products!$A$1:$G$1,0))</f>
        <v>13.75</v>
      </c>
      <c r="M67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cm="1">
        <f t="array" ref="F676">_xlfn.XLOOKUP(C676,customers!$A$1:$A1675,customers!$B$1:$B1675,,0)</f>
        <v>Hermann Larvor</v>
      </c>
      <c r="G676" s="2" t="str">
        <f>IF(_xlfn.XLOOKUP(C676, customers!$A:$A, customers!$C:$C,,0)=0, "", _xlfn.XLOOKUP(C676, customers!$A:$A, customers!$C:$C,,0))</f>
        <v>hlarvoriq@last.fm</v>
      </c>
      <c r="H676" s="2" t="str">
        <f>_xlfn.XLOOKUP(C676, customers!$A:$A, customers!$G:$G,,0)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f>INDEX(products!$A$1:$G$49,MATCH(orders!$D676,products!$A$1:$A$49,0),MATCH(orders!L$1,products!$A$1:$G$1,0))</f>
        <v>29.784999999999997</v>
      </c>
      <c r="M676">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cm="1">
        <f t="array" ref="F677">_xlfn.XLOOKUP(C677,customers!$A$1:$A1676,customers!$B$1:$B1676,,0)</f>
        <v>Terri Lyford</v>
      </c>
      <c r="G677" s="2" t="str">
        <f>IF(_xlfn.XLOOKUP(C677, customers!$A:$A, customers!$C:$C,,0)=0, "", _xlfn.XLOOKUP(C677, customers!$A:$A, customers!$C:$C,,0))</f>
        <v/>
      </c>
      <c r="H677" s="2" t="str">
        <f>_xlfn.XLOOKUP(C677, customers!$A:$A, customers!$G:$G,,0)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f>INDEX(products!$A$1:$G$49,MATCH(orders!$D677,products!$A$1:$A$49,0),MATCH(orders!L$1,products!$A$1:$G$1,0))</f>
        <v>29.784999999999997</v>
      </c>
      <c r="M677">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cm="1">
        <f t="array" ref="F678">_xlfn.XLOOKUP(C678,customers!$A$1:$A1677,customers!$B$1:$B1677,,0)</f>
        <v>Gabey Cogan</v>
      </c>
      <c r="G678" s="2" t="str">
        <f>IF(_xlfn.XLOOKUP(C678, customers!$A:$A, customers!$C:$C,,0)=0, "", _xlfn.XLOOKUP(C678, customers!$A:$A, customers!$C:$C,,0))</f>
        <v/>
      </c>
      <c r="H678" s="2" t="str">
        <f>_xlfn.XLOOKUP(C678, customers!$A:$A, customers!$G:$G,,0)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f>INDEX(products!$A$1:$G$49,MATCH(orders!$D678,products!$A$1:$A$49,0),MATCH(orders!L$1,products!$A$1:$G$1,0))</f>
        <v>9.51</v>
      </c>
      <c r="M678">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cm="1">
        <f t="array" ref="F679">_xlfn.XLOOKUP(C679,customers!$A$1:$A1678,customers!$B$1:$B1678,,0)</f>
        <v>Charin Penwarden</v>
      </c>
      <c r="G679" s="2" t="str">
        <f>IF(_xlfn.XLOOKUP(C679, customers!$A:$A, customers!$C:$C,,0)=0, "", _xlfn.XLOOKUP(C679, customers!$A:$A, customers!$C:$C,,0))</f>
        <v>cpenwardenit@mlb.com</v>
      </c>
      <c r="H679" s="2" t="str">
        <f>_xlfn.XLOOKUP(C679, customers!$A:$A, customers!$G:$G,,0)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f>INDEX(products!$A$1:$G$49,MATCH(orders!$D679,products!$A$1:$A$49,0),MATCH(orders!L$1,products!$A$1:$G$1,0))</f>
        <v>8.73</v>
      </c>
      <c r="M679">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cm="1">
        <f t="array" ref="F680">_xlfn.XLOOKUP(C680,customers!$A$1:$A1679,customers!$B$1:$B1679,,0)</f>
        <v>Milty Middis</v>
      </c>
      <c r="G680" s="2" t="str">
        <f>IF(_xlfn.XLOOKUP(C680, customers!$A:$A, customers!$C:$C,,0)=0, "", _xlfn.XLOOKUP(C680, customers!$A:$A, customers!$C:$C,,0))</f>
        <v>mmiddisiu@dmoz.org</v>
      </c>
      <c r="H680" s="2" t="str">
        <f>_xlfn.XLOOKUP(C680, customers!$A:$A, customers!$G:$G,,0)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f>INDEX(products!$A$1:$G$49,MATCH(orders!$D680,products!$A$1:$A$49,0),MATCH(orders!L$1,products!$A$1:$G$1,0))</f>
        <v>29.784999999999997</v>
      </c>
      <c r="M680">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cm="1">
        <f t="array" ref="F681">_xlfn.XLOOKUP(C681,customers!$A$1:$A1680,customers!$B$1:$B1680,,0)</f>
        <v>Adrianne Vairow</v>
      </c>
      <c r="G681" s="2" t="str">
        <f>IF(_xlfn.XLOOKUP(C681, customers!$A:$A, customers!$C:$C,,0)=0, "", _xlfn.XLOOKUP(C681, customers!$A:$A, customers!$C:$C,,0))</f>
        <v>avairowiv@studiopress.com</v>
      </c>
      <c r="H681" s="2" t="str">
        <f>_xlfn.XLOOKUP(C681, customers!$A:$A, customers!$G:$G,,0)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f>INDEX(products!$A$1:$G$49,MATCH(orders!$D681,products!$A$1:$A$49,0),MATCH(orders!L$1,products!$A$1:$G$1,0))</f>
        <v>27.484999999999996</v>
      </c>
      <c r="M681">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cm="1">
        <f t="array" ref="F682">_xlfn.XLOOKUP(C682,customers!$A$1:$A1681,customers!$B$1:$B1681,,0)</f>
        <v>Anjanette Goldie</v>
      </c>
      <c r="G682" s="2" t="str">
        <f>IF(_xlfn.XLOOKUP(C682, customers!$A:$A, customers!$C:$C,,0)=0, "", _xlfn.XLOOKUP(C682, customers!$A:$A, customers!$C:$C,,0))</f>
        <v>agoldieiw@goo.gl</v>
      </c>
      <c r="H682" s="2" t="str">
        <f>_xlfn.XLOOKUP(C682, customers!$A:$A, customers!$G:$G,,0)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f>INDEX(products!$A$1:$G$49,MATCH(orders!$D682,products!$A$1:$A$49,0),MATCH(orders!L$1,products!$A$1:$G$1,0))</f>
        <v>11.25</v>
      </c>
      <c r="M682">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cm="1">
        <f t="array" ref="F683">_xlfn.XLOOKUP(C683,customers!$A$1:$A1682,customers!$B$1:$B1682,,0)</f>
        <v>Nicky Ayris</v>
      </c>
      <c r="G683" s="2" t="str">
        <f>IF(_xlfn.XLOOKUP(C683, customers!$A:$A, customers!$C:$C,,0)=0, "", _xlfn.XLOOKUP(C683, customers!$A:$A, customers!$C:$C,,0))</f>
        <v>nayrisix@t-online.de</v>
      </c>
      <c r="H683" s="2" t="str">
        <f>_xlfn.XLOOKUP(C683, customers!$A:$A, customers!$G:$G,,0)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f>INDEX(products!$A$1:$G$49,MATCH(orders!$D683,products!$A$1:$A$49,0),MATCH(orders!L$1,products!$A$1:$G$1,0))</f>
        <v>4.7549999999999999</v>
      </c>
      <c r="M683">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cm="1">
        <f t="array" ref="F684">_xlfn.XLOOKUP(C684,customers!$A$1:$A1683,customers!$B$1:$B1683,,0)</f>
        <v>Laryssa Benediktovich</v>
      </c>
      <c r="G684" s="2" t="str">
        <f>IF(_xlfn.XLOOKUP(C684, customers!$A:$A, customers!$C:$C,,0)=0, "", _xlfn.XLOOKUP(C684, customers!$A:$A, customers!$C:$C,,0))</f>
        <v>lbenediktovichiy@wunderground.com</v>
      </c>
      <c r="H684" s="2" t="str">
        <f>_xlfn.XLOOKUP(C684, customers!$A:$A, customers!$G:$G,,0)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f>INDEX(products!$A$1:$G$49,MATCH(orders!$D684,products!$A$1:$A$49,0),MATCH(orders!L$1,products!$A$1:$G$1,0))</f>
        <v>4.125</v>
      </c>
      <c r="M684">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cm="1">
        <f t="array" ref="F685">_xlfn.XLOOKUP(C685,customers!$A$1:$A1684,customers!$B$1:$B1684,,0)</f>
        <v>Theo Jacobovitz</v>
      </c>
      <c r="G685" s="2" t="str">
        <f>IF(_xlfn.XLOOKUP(C685, customers!$A:$A, customers!$C:$C,,0)=0, "", _xlfn.XLOOKUP(C685, customers!$A:$A, customers!$C:$C,,0))</f>
        <v>tjacobovitziz@cbc.ca</v>
      </c>
      <c r="H685" s="2" t="str">
        <f>_xlfn.XLOOKUP(C685, customers!$A:$A, customers!$G:$G,,0)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f>INDEX(products!$A$1:$G$49,MATCH(orders!$D685,products!$A$1:$A$49,0),MATCH(orders!L$1,products!$A$1:$G$1,0))</f>
        <v>7.77</v>
      </c>
      <c r="M68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cm="1">
        <f t="array" ref="F686">_xlfn.XLOOKUP(C686,customers!$A$1:$A1685,customers!$B$1:$B1685,,0)</f>
        <v>Becca Ableson</v>
      </c>
      <c r="G686" s="2" t="str">
        <f>IF(_xlfn.XLOOKUP(C686, customers!$A:$A, customers!$C:$C,,0)=0, "", _xlfn.XLOOKUP(C686, customers!$A:$A, customers!$C:$C,,0))</f>
        <v/>
      </c>
      <c r="H686" s="2" t="str">
        <f>_xlfn.XLOOKUP(C686, customers!$A:$A, customers!$G:$G,,0)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f>INDEX(products!$A$1:$G$49,MATCH(orders!$D686,products!$A$1:$A$49,0),MATCH(orders!L$1,products!$A$1:$G$1,0))</f>
        <v>11.95</v>
      </c>
      <c r="M686">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cm="1">
        <f t="array" ref="F687">_xlfn.XLOOKUP(C687,customers!$A$1:$A1686,customers!$B$1:$B1686,,0)</f>
        <v>Jeno Druitt</v>
      </c>
      <c r="G687" s="2" t="str">
        <f>IF(_xlfn.XLOOKUP(C687, customers!$A:$A, customers!$C:$C,,0)=0, "", _xlfn.XLOOKUP(C687, customers!$A:$A, customers!$C:$C,,0))</f>
        <v>jdruittj1@feedburner.com</v>
      </c>
      <c r="H687" s="2" t="str">
        <f>_xlfn.XLOOKUP(C687, customers!$A:$A, customers!$G:$G,,0)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f>INDEX(products!$A$1:$G$49,MATCH(orders!$D687,products!$A$1:$A$49,0),MATCH(orders!L$1,products!$A$1:$G$1,0))</f>
        <v>36.454999999999998</v>
      </c>
      <c r="M687">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cm="1">
        <f t="array" ref="F688">_xlfn.XLOOKUP(C688,customers!$A$1:$A1687,customers!$B$1:$B1687,,0)</f>
        <v>Deonne Shortall</v>
      </c>
      <c r="G688" s="2" t="str">
        <f>IF(_xlfn.XLOOKUP(C688, customers!$A:$A, customers!$C:$C,,0)=0, "", _xlfn.XLOOKUP(C688, customers!$A:$A, customers!$C:$C,,0))</f>
        <v>dshortallj2@wikipedia.org</v>
      </c>
      <c r="H688" s="2" t="str">
        <f>_xlfn.XLOOKUP(C688, customers!$A:$A, customers!$G:$G,,0)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f>INDEX(products!$A$1:$G$49,MATCH(orders!$D688,products!$A$1:$A$49,0),MATCH(orders!L$1,products!$A$1:$G$1,0))</f>
        <v>2.6849999999999996</v>
      </c>
      <c r="M688">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cm="1">
        <f t="array" ref="F689">_xlfn.XLOOKUP(C689,customers!$A$1:$A1688,customers!$B$1:$B1688,,0)</f>
        <v>Wilton Cottier</v>
      </c>
      <c r="G689" s="2" t="str">
        <f>IF(_xlfn.XLOOKUP(C689, customers!$A:$A, customers!$C:$C,,0)=0, "", _xlfn.XLOOKUP(C689, customers!$A:$A, customers!$C:$C,,0))</f>
        <v>wcottierj3@cafepress.com</v>
      </c>
      <c r="H689" s="2" t="str">
        <f>_xlfn.XLOOKUP(C689, customers!$A:$A, customers!$G:$G,,0)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f>INDEX(products!$A$1:$G$49,MATCH(orders!$D689,products!$A$1:$A$49,0),MATCH(orders!L$1,products!$A$1:$G$1,0))</f>
        <v>8.25</v>
      </c>
      <c r="M689">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cm="1">
        <f t="array" ref="F690">_xlfn.XLOOKUP(C690,customers!$A$1:$A1689,customers!$B$1:$B1689,,0)</f>
        <v>Kevan Grinsted</v>
      </c>
      <c r="G690" s="2" t="str">
        <f>IF(_xlfn.XLOOKUP(C690, customers!$A:$A, customers!$C:$C,,0)=0, "", _xlfn.XLOOKUP(C690, customers!$A:$A, customers!$C:$C,,0))</f>
        <v>kgrinstedj4@google.com.br</v>
      </c>
      <c r="H690" s="2" t="str">
        <f>_xlfn.XLOOKUP(C690, customers!$A:$A, customers!$G:$G,,0)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f>INDEX(products!$A$1:$G$49,MATCH(orders!$D690,products!$A$1:$A$49,0),MATCH(orders!L$1,products!$A$1:$G$1,0))</f>
        <v>12.95</v>
      </c>
      <c r="M690">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cm="1">
        <f t="array" ref="F691">_xlfn.XLOOKUP(C691,customers!$A$1:$A1690,customers!$B$1:$B1690,,0)</f>
        <v>Dionne Skyner</v>
      </c>
      <c r="G691" s="2" t="str">
        <f>IF(_xlfn.XLOOKUP(C691, customers!$A:$A, customers!$C:$C,,0)=0, "", _xlfn.XLOOKUP(C691, customers!$A:$A, customers!$C:$C,,0))</f>
        <v>dskynerj5@hubpages.com</v>
      </c>
      <c r="H691" s="2" t="str">
        <f>_xlfn.XLOOKUP(C691, customers!$A:$A, customers!$G:$G,,0)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f>INDEX(products!$A$1:$G$49,MATCH(orders!$D691,products!$A$1:$A$49,0),MATCH(orders!L$1,products!$A$1:$G$1,0))</f>
        <v>6.75</v>
      </c>
      <c r="M691">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cm="1">
        <f t="array" ref="F692">_xlfn.XLOOKUP(C692,customers!$A$1:$A1691,customers!$B$1:$B1691,,0)</f>
        <v>Francesco Dressel</v>
      </c>
      <c r="G692" s="2" t="str">
        <f>IF(_xlfn.XLOOKUP(C692, customers!$A:$A, customers!$C:$C,,0)=0, "", _xlfn.XLOOKUP(C692, customers!$A:$A, customers!$C:$C,,0))</f>
        <v/>
      </c>
      <c r="H692" s="2" t="str">
        <f>_xlfn.XLOOKUP(C692, customers!$A:$A, customers!$G:$G,,0)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f>INDEX(products!$A$1:$G$49,MATCH(orders!$D692,products!$A$1:$A$49,0),MATCH(orders!L$1,products!$A$1:$G$1,0))</f>
        <v>29.784999999999997</v>
      </c>
      <c r="M692">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cm="1">
        <f t="array" ref="F693">_xlfn.XLOOKUP(C693,customers!$A$1:$A1692,customers!$B$1:$B1692,,0)</f>
        <v>Jimmy Dymoke</v>
      </c>
      <c r="G693" s="2" t="str">
        <f>IF(_xlfn.XLOOKUP(C693, customers!$A:$A, customers!$C:$C,,0)=0, "", _xlfn.XLOOKUP(C693, customers!$A:$A, customers!$C:$C,,0))</f>
        <v>jdymokeje@prnewswire.com</v>
      </c>
      <c r="H693" s="2" t="str">
        <f>_xlfn.XLOOKUP(C693, customers!$A:$A, customers!$G:$G,,0)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f>INDEX(products!$A$1:$G$49,MATCH(orders!$D693,products!$A$1:$A$49,0),MATCH(orders!L$1,products!$A$1:$G$1,0))</f>
        <v>11.25</v>
      </c>
      <c r="M693">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cm="1">
        <f t="array" ref="F694">_xlfn.XLOOKUP(C694,customers!$A$1:$A1693,customers!$B$1:$B1693,,0)</f>
        <v>Ambrosio Weinmann</v>
      </c>
      <c r="G694" s="2" t="str">
        <f>IF(_xlfn.XLOOKUP(C694, customers!$A:$A, customers!$C:$C,,0)=0, "", _xlfn.XLOOKUP(C694, customers!$A:$A, customers!$C:$C,,0))</f>
        <v>aweinmannj8@shinystat.com</v>
      </c>
      <c r="H694" s="2" t="str">
        <f>_xlfn.XLOOKUP(C694, customers!$A:$A, customers!$G:$G,,0)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f>INDEX(products!$A$1:$G$49,MATCH(orders!$D694,products!$A$1:$A$49,0),MATCH(orders!L$1,products!$A$1:$G$1,0))</f>
        <v>12.95</v>
      </c>
      <c r="M694">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cm="1">
        <f t="array" ref="F695">_xlfn.XLOOKUP(C695,customers!$A$1:$A1694,customers!$B$1:$B1694,,0)</f>
        <v>Elden Andriessen</v>
      </c>
      <c r="G695" s="2" t="str">
        <f>IF(_xlfn.XLOOKUP(C695, customers!$A:$A, customers!$C:$C,,0)=0, "", _xlfn.XLOOKUP(C695, customers!$A:$A, customers!$C:$C,,0))</f>
        <v>eandriessenj9@europa.eu</v>
      </c>
      <c r="H695" s="2" t="str">
        <f>_xlfn.XLOOKUP(C695, customers!$A:$A, customers!$G:$G,,0)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f>INDEX(products!$A$1:$G$49,MATCH(orders!$D695,products!$A$1:$A$49,0),MATCH(orders!L$1,products!$A$1:$G$1,0))</f>
        <v>25.874999999999996</v>
      </c>
      <c r="M69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cm="1">
        <f t="array" ref="F696">_xlfn.XLOOKUP(C696,customers!$A$1:$A1695,customers!$B$1:$B1695,,0)</f>
        <v>Roxie Deaconson</v>
      </c>
      <c r="G696" s="2" t="str">
        <f>IF(_xlfn.XLOOKUP(C696, customers!$A:$A, customers!$C:$C,,0)=0, "", _xlfn.XLOOKUP(C696, customers!$A:$A, customers!$C:$C,,0))</f>
        <v>rdeaconsonja@archive.org</v>
      </c>
      <c r="H696" s="2" t="str">
        <f>_xlfn.XLOOKUP(C696, customers!$A:$A, customers!$G:$G,,0)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f>INDEX(products!$A$1:$G$49,MATCH(orders!$D696,products!$A$1:$A$49,0),MATCH(orders!L$1,products!$A$1:$G$1,0))</f>
        <v>7.29</v>
      </c>
      <c r="M696">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cm="1">
        <f t="array" ref="F697">_xlfn.XLOOKUP(C697,customers!$A$1:$A1696,customers!$B$1:$B1696,,0)</f>
        <v>Davida Caro</v>
      </c>
      <c r="G697" s="2" t="str">
        <f>IF(_xlfn.XLOOKUP(C697, customers!$A:$A, customers!$C:$C,,0)=0, "", _xlfn.XLOOKUP(C697, customers!$A:$A, customers!$C:$C,,0))</f>
        <v>dcarojb@twitter.com</v>
      </c>
      <c r="H697" s="2" t="str">
        <f>_xlfn.XLOOKUP(C697, customers!$A:$A, customers!$G:$G,,0)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f>INDEX(products!$A$1:$G$49,MATCH(orders!$D697,products!$A$1:$A$49,0),MATCH(orders!L$1,products!$A$1:$G$1,0))</f>
        <v>36.454999999999998</v>
      </c>
      <c r="M697">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cm="1">
        <f t="array" ref="F698">_xlfn.XLOOKUP(C698,customers!$A$1:$A1697,customers!$B$1:$B1697,,0)</f>
        <v>Johna Bluck</v>
      </c>
      <c r="G698" s="2" t="str">
        <f>IF(_xlfn.XLOOKUP(C698, customers!$A:$A, customers!$C:$C,,0)=0, "", _xlfn.XLOOKUP(C698, customers!$A:$A, customers!$C:$C,,0))</f>
        <v>jbluckjc@imageshack.us</v>
      </c>
      <c r="H698" s="2" t="str">
        <f>_xlfn.XLOOKUP(C698, customers!$A:$A, customers!$G:$G,,0)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f>INDEX(products!$A$1:$G$49,MATCH(orders!$D698,products!$A$1:$A$49,0),MATCH(orders!L$1,products!$A$1:$G$1,0))</f>
        <v>7.77</v>
      </c>
      <c r="M698">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cm="1">
        <f t="array" ref="F699">_xlfn.XLOOKUP(C699,customers!$A$1:$A1698,customers!$B$1:$B1698,,0)</f>
        <v>Myrle Dearden</v>
      </c>
      <c r="G699" s="2" t="str">
        <f>IF(_xlfn.XLOOKUP(C699, customers!$A:$A, customers!$C:$C,,0)=0, "", _xlfn.XLOOKUP(C699, customers!$A:$A, customers!$C:$C,,0))</f>
        <v/>
      </c>
      <c r="H699" s="2" t="str">
        <f>_xlfn.XLOOKUP(C699, customers!$A:$A, customers!$G:$G,,0)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f>INDEX(products!$A$1:$G$49,MATCH(orders!$D699,products!$A$1:$A$49,0),MATCH(orders!L$1,products!$A$1:$G$1,0))</f>
        <v>6.75</v>
      </c>
      <c r="M699">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cm="1">
        <f t="array" ref="F700">_xlfn.XLOOKUP(C700,customers!$A$1:$A1699,customers!$B$1:$B1699,,0)</f>
        <v>Jimmy Dymoke</v>
      </c>
      <c r="G700" s="2" t="str">
        <f>IF(_xlfn.XLOOKUP(C700, customers!$A:$A, customers!$C:$C,,0)=0, "", _xlfn.XLOOKUP(C700, customers!$A:$A, customers!$C:$C,,0))</f>
        <v>jdymokeje@prnewswire.com</v>
      </c>
      <c r="H700" s="2" t="str">
        <f>_xlfn.XLOOKUP(C700, customers!$A:$A, customers!$G:$G,,0)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f>INDEX(products!$A$1:$G$49,MATCH(orders!$D700,products!$A$1:$A$49,0),MATCH(orders!L$1,products!$A$1:$G$1,0))</f>
        <v>12.95</v>
      </c>
      <c r="M700">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cm="1">
        <f t="array" ref="F701">_xlfn.XLOOKUP(C701,customers!$A$1:$A1700,customers!$B$1:$B1700,,0)</f>
        <v>Orland Tadman</v>
      </c>
      <c r="G701" s="2" t="str">
        <f>IF(_xlfn.XLOOKUP(C701, customers!$A:$A, customers!$C:$C,,0)=0, "", _xlfn.XLOOKUP(C701, customers!$A:$A, customers!$C:$C,,0))</f>
        <v>otadmanjf@ft.com</v>
      </c>
      <c r="H701" s="2" t="str">
        <f>_xlfn.XLOOKUP(C701, customers!$A:$A, customers!$G:$G,,0)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f>INDEX(products!$A$1:$G$49,MATCH(orders!$D701,products!$A$1:$A$49,0),MATCH(orders!L$1,products!$A$1:$G$1,0))</f>
        <v>5.97</v>
      </c>
      <c r="M701">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cm="1">
        <f t="array" ref="F702">_xlfn.XLOOKUP(C702,customers!$A$1:$A1701,customers!$B$1:$B1701,,0)</f>
        <v>Barrett Gudde</v>
      </c>
      <c r="G702" s="2" t="str">
        <f>IF(_xlfn.XLOOKUP(C702, customers!$A:$A, customers!$C:$C,,0)=0, "", _xlfn.XLOOKUP(C702, customers!$A:$A, customers!$C:$C,,0))</f>
        <v>bguddejg@dailymotion.com</v>
      </c>
      <c r="H702" s="2" t="str">
        <f>_xlfn.XLOOKUP(C702, customers!$A:$A, customers!$G:$G,,0)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f>INDEX(products!$A$1:$G$49,MATCH(orders!$D702,products!$A$1:$A$49,0),MATCH(orders!L$1,products!$A$1:$G$1,0))</f>
        <v>9.51</v>
      </c>
      <c r="M702">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cm="1">
        <f t="array" ref="F703">_xlfn.XLOOKUP(C703,customers!$A$1:$A1702,customers!$B$1:$B1702,,0)</f>
        <v>Nathan Sictornes</v>
      </c>
      <c r="G703" s="2" t="str">
        <f>IF(_xlfn.XLOOKUP(C703, customers!$A:$A, customers!$C:$C,,0)=0, "", _xlfn.XLOOKUP(C703, customers!$A:$A, customers!$C:$C,,0))</f>
        <v>nsictornesjh@buzzfeed.com</v>
      </c>
      <c r="H703" s="2" t="str">
        <f>_xlfn.XLOOKUP(C703, customers!$A:$A, customers!$G:$G,,0)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f>INDEX(products!$A$1:$G$49,MATCH(orders!$D703,products!$A$1:$A$49,0),MATCH(orders!L$1,products!$A$1:$G$1,0))</f>
        <v>5.97</v>
      </c>
      <c r="M703">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cm="1">
        <f t="array" ref="F704">_xlfn.XLOOKUP(C704,customers!$A$1:$A1703,customers!$B$1:$B1703,,0)</f>
        <v>Vivyan Dunning</v>
      </c>
      <c r="G704" s="2" t="str">
        <f>IF(_xlfn.XLOOKUP(C704, customers!$A:$A, customers!$C:$C,,0)=0, "", _xlfn.XLOOKUP(C704, customers!$A:$A, customers!$C:$C,,0))</f>
        <v>vdunningji@independent.co.uk</v>
      </c>
      <c r="H704" s="2" t="str">
        <f>_xlfn.XLOOKUP(C704, customers!$A:$A, customers!$G:$G,,0)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f>INDEX(products!$A$1:$G$49,MATCH(orders!$D704,products!$A$1:$A$49,0),MATCH(orders!L$1,products!$A$1:$G$1,0))</f>
        <v>7.77</v>
      </c>
      <c r="M704">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cm="1">
        <f t="array" ref="F705">_xlfn.XLOOKUP(C705,customers!$A$1:$A1704,customers!$B$1:$B1704,,0)</f>
        <v>Doralin Baison</v>
      </c>
      <c r="G705" s="2" t="str">
        <f>IF(_xlfn.XLOOKUP(C705, customers!$A:$A, customers!$C:$C,,0)=0, "", _xlfn.XLOOKUP(C705, customers!$A:$A, customers!$C:$C,,0))</f>
        <v/>
      </c>
      <c r="H705" s="2" t="str">
        <f>_xlfn.XLOOKUP(C705, customers!$A:$A, customers!$G:$G,,0)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f>INDEX(products!$A$1:$G$49,MATCH(orders!$D705,products!$A$1:$A$49,0),MATCH(orders!L$1,products!$A$1:$G$1,0))</f>
        <v>29.784999999999997</v>
      </c>
      <c r="M70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cm="1">
        <f t="array" ref="F706">_xlfn.XLOOKUP(C706,customers!$A$1:$A1705,customers!$B$1:$B1705,,0)</f>
        <v>Josefina Ferens</v>
      </c>
      <c r="G706" s="2" t="str">
        <f>IF(_xlfn.XLOOKUP(C706, customers!$A:$A, customers!$C:$C,,0)=0, "", _xlfn.XLOOKUP(C706, customers!$A:$A, customers!$C:$C,,0))</f>
        <v/>
      </c>
      <c r="H706" s="2" t="str">
        <f>_xlfn.XLOOKUP(C706, customers!$A:$A, customers!$G:$G,,0)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f>INDEX(products!$A$1:$G$49,MATCH(orders!$D706,products!$A$1:$A$49,0),MATCH(orders!L$1,products!$A$1:$G$1,0))</f>
        <v>3.645</v>
      </c>
      <c r="M706">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cm="1">
        <f t="array" ref="F707">_xlfn.XLOOKUP(C707,customers!$A$1:$A1706,customers!$B$1:$B1706,,0)</f>
        <v>Shelley Gehring</v>
      </c>
      <c r="G707" s="2" t="str">
        <f>IF(_xlfn.XLOOKUP(C707, customers!$A:$A, customers!$C:$C,,0)=0, "", _xlfn.XLOOKUP(C707, customers!$A:$A, customers!$C:$C,,0))</f>
        <v>sgehringjl@gnu.org</v>
      </c>
      <c r="H707" s="2" t="str">
        <f>_xlfn.XLOOKUP(C707, customers!$A:$A, customers!$G:$G,,0)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f>INDEX(products!$A$1:$G$49,MATCH(orders!$D707,products!$A$1:$A$49,0),MATCH(orders!L$1,products!$A$1:$G$1,0))</f>
        <v>8.91</v>
      </c>
      <c r="M707">
        <f t="shared" ref="M707:M770" si="33">L707*E707</f>
        <v>17.82</v>
      </c>
      <c r="N707" t="str">
        <f t="shared" ref="N707:N770" si="34">IF(I707="Rob", "Robusta", IF(I707="Exc","Excelsa",IF(I707="Ara","Arabica", 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cm="1">
        <f t="array" ref="F708">_xlfn.XLOOKUP(C708,customers!$A$1:$A1707,customers!$B$1:$B1707,,0)</f>
        <v>Barrie Fallowes</v>
      </c>
      <c r="G708" s="2" t="str">
        <f>IF(_xlfn.XLOOKUP(C708, customers!$A:$A, customers!$C:$C,,0)=0, "", _xlfn.XLOOKUP(C708, customers!$A:$A, customers!$C:$C,,0))</f>
        <v>bfallowesjm@purevolume.com</v>
      </c>
      <c r="H708" s="2" t="str">
        <f>_xlfn.XLOOKUP(C708, customers!$A:$A, customers!$G:$G,,0)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f>INDEX(products!$A$1:$G$49,MATCH(orders!$D708,products!$A$1:$A$49,0),MATCH(orders!L$1,products!$A$1:$G$1,0))</f>
        <v>4.125</v>
      </c>
      <c r="M708">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cm="1">
        <f t="array" ref="F709">_xlfn.XLOOKUP(C709,customers!$A$1:$A1708,customers!$B$1:$B1708,,0)</f>
        <v>Nicolas Aiton</v>
      </c>
      <c r="G709" s="2" t="str">
        <f>IF(_xlfn.XLOOKUP(C709, customers!$A:$A, customers!$C:$C,,0)=0, "", _xlfn.XLOOKUP(C709, customers!$A:$A, customers!$C:$C,,0))</f>
        <v/>
      </c>
      <c r="H709" s="2" t="str">
        <f>_xlfn.XLOOKUP(C709, customers!$A:$A, customers!$G:$G,,0)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f>INDEX(products!$A$1:$G$49,MATCH(orders!$D709,products!$A$1:$A$49,0),MATCH(orders!L$1,products!$A$1:$G$1,0))</f>
        <v>12.95</v>
      </c>
      <c r="M709">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cm="1">
        <f t="array" ref="F710">_xlfn.XLOOKUP(C710,customers!$A$1:$A1709,customers!$B$1:$B1709,,0)</f>
        <v>Shelli De Banke</v>
      </c>
      <c r="G710" s="2" t="str">
        <f>IF(_xlfn.XLOOKUP(C710, customers!$A:$A, customers!$C:$C,,0)=0, "", _xlfn.XLOOKUP(C710, customers!$A:$A, customers!$C:$C,,0))</f>
        <v>sdejo@newsvine.com</v>
      </c>
      <c r="H710" s="2" t="str">
        <f>_xlfn.XLOOKUP(C710, customers!$A:$A, customers!$G:$G,,0)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f>INDEX(products!$A$1:$G$49,MATCH(orders!$D710,products!$A$1:$A$49,0),MATCH(orders!L$1,products!$A$1:$G$1,0))</f>
        <v>6.75</v>
      </c>
      <c r="M710">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cm="1">
        <f t="array" ref="F711">_xlfn.XLOOKUP(C711,customers!$A$1:$A1710,customers!$B$1:$B1710,,0)</f>
        <v>Lyell Murch</v>
      </c>
      <c r="G711" s="2" t="str">
        <f>IF(_xlfn.XLOOKUP(C711, customers!$A:$A, customers!$C:$C,,0)=0, "", _xlfn.XLOOKUP(C711, customers!$A:$A, customers!$C:$C,,0))</f>
        <v/>
      </c>
      <c r="H711" s="2" t="str">
        <f>_xlfn.XLOOKUP(C711, customers!$A:$A, customers!$G:$G,,0)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f>INDEX(products!$A$1:$G$49,MATCH(orders!$D711,products!$A$1:$A$49,0),MATCH(orders!L$1,products!$A$1:$G$1,0))</f>
        <v>8.91</v>
      </c>
      <c r="M711">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cm="1">
        <f t="array" ref="F712">_xlfn.XLOOKUP(C712,customers!$A$1:$A1711,customers!$B$1:$B1711,,0)</f>
        <v>Stearne Count</v>
      </c>
      <c r="G712" s="2" t="str">
        <f>IF(_xlfn.XLOOKUP(C712, customers!$A:$A, customers!$C:$C,,0)=0, "", _xlfn.XLOOKUP(C712, customers!$A:$A, customers!$C:$C,,0))</f>
        <v>scountjq@nba.com</v>
      </c>
      <c r="H712" s="2" t="str">
        <f>_xlfn.XLOOKUP(C712, customers!$A:$A, customers!$G:$G,,0)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f>INDEX(products!$A$1:$G$49,MATCH(orders!$D712,products!$A$1:$A$49,0),MATCH(orders!L$1,products!$A$1:$G$1,0))</f>
        <v>8.25</v>
      </c>
      <c r="M712">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cm="1">
        <f t="array" ref="F713">_xlfn.XLOOKUP(C713,customers!$A$1:$A1712,customers!$B$1:$B1712,,0)</f>
        <v>Selia Ragles</v>
      </c>
      <c r="G713" s="2" t="str">
        <f>IF(_xlfn.XLOOKUP(C713, customers!$A:$A, customers!$C:$C,,0)=0, "", _xlfn.XLOOKUP(C713, customers!$A:$A, customers!$C:$C,,0))</f>
        <v>sraglesjr@blogtalkradio.com</v>
      </c>
      <c r="H713" s="2" t="str">
        <f>_xlfn.XLOOKUP(C713, customers!$A:$A, customers!$G:$G,,0)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f>INDEX(products!$A$1:$G$49,MATCH(orders!$D713,products!$A$1:$A$49,0),MATCH(orders!L$1,products!$A$1:$G$1,0))</f>
        <v>2.9849999999999999</v>
      </c>
      <c r="M713">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cm="1">
        <f t="array" ref="F714">_xlfn.XLOOKUP(C714,customers!$A$1:$A1713,customers!$B$1:$B1713,,0)</f>
        <v>Silas Deehan</v>
      </c>
      <c r="G714" s="2" t="str">
        <f>IF(_xlfn.XLOOKUP(C714, customers!$A:$A, customers!$C:$C,,0)=0, "", _xlfn.XLOOKUP(C714, customers!$A:$A, customers!$C:$C,,0))</f>
        <v/>
      </c>
      <c r="H714" s="2" t="str">
        <f>_xlfn.XLOOKUP(C714, customers!$A:$A, customers!$G:$G,,0)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f>INDEX(products!$A$1:$G$49,MATCH(orders!$D714,products!$A$1:$A$49,0),MATCH(orders!L$1,products!$A$1:$G$1,0))</f>
        <v>8.25</v>
      </c>
      <c r="M714">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cm="1">
        <f t="array" ref="F715">_xlfn.XLOOKUP(C715,customers!$A$1:$A1714,customers!$B$1:$B1714,,0)</f>
        <v>Sacha Bruun</v>
      </c>
      <c r="G715" s="2" t="str">
        <f>IF(_xlfn.XLOOKUP(C715, customers!$A:$A, customers!$C:$C,,0)=0, "", _xlfn.XLOOKUP(C715, customers!$A:$A, customers!$C:$C,,0))</f>
        <v>sbruunjt@blogtalkradio.com</v>
      </c>
      <c r="H715" s="2" t="str">
        <f>_xlfn.XLOOKUP(C715, customers!$A:$A, customers!$G:$G,,0)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f>INDEX(products!$A$1:$G$49,MATCH(orders!$D715,products!$A$1:$A$49,0),MATCH(orders!L$1,products!$A$1:$G$1,0))</f>
        <v>2.9849999999999999</v>
      </c>
      <c r="M71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cm="1">
        <f t="array" ref="F716">_xlfn.XLOOKUP(C716,customers!$A$1:$A1715,customers!$B$1:$B1715,,0)</f>
        <v>Alon Pllu</v>
      </c>
      <c r="G716" s="2" t="str">
        <f>IF(_xlfn.XLOOKUP(C716, customers!$A:$A, customers!$C:$C,,0)=0, "", _xlfn.XLOOKUP(C716, customers!$A:$A, customers!$C:$C,,0))</f>
        <v>aplluju@dagondesign.com</v>
      </c>
      <c r="H716" s="2" t="str">
        <f>_xlfn.XLOOKUP(C716, customers!$A:$A, customers!$G:$G,,0)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f>INDEX(products!$A$1:$G$49,MATCH(orders!$D716,products!$A$1:$A$49,0),MATCH(orders!L$1,products!$A$1:$G$1,0))</f>
        <v>3.645</v>
      </c>
      <c r="M716">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cm="1">
        <f t="array" ref="F717">_xlfn.XLOOKUP(C717,customers!$A$1:$A1716,customers!$B$1:$B1716,,0)</f>
        <v>Gilberto Cornier</v>
      </c>
      <c r="G717" s="2" t="str">
        <f>IF(_xlfn.XLOOKUP(C717, customers!$A:$A, customers!$C:$C,,0)=0, "", _xlfn.XLOOKUP(C717, customers!$A:$A, customers!$C:$C,,0))</f>
        <v>gcornierjv@techcrunch.com</v>
      </c>
      <c r="H717" s="2" t="str">
        <f>_xlfn.XLOOKUP(C717, customers!$A:$A, customers!$G:$G,,0)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f>INDEX(products!$A$1:$G$49,MATCH(orders!$D717,products!$A$1:$A$49,0),MATCH(orders!L$1,products!$A$1:$G$1,0))</f>
        <v>14.85</v>
      </c>
      <c r="M717">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cm="1">
        <f t="array" ref="F718">_xlfn.XLOOKUP(C718,customers!$A$1:$A1717,customers!$B$1:$B1717,,0)</f>
        <v>Jimmy Dymoke</v>
      </c>
      <c r="G718" s="2" t="str">
        <f>IF(_xlfn.XLOOKUP(C718, customers!$A:$A, customers!$C:$C,,0)=0, "", _xlfn.XLOOKUP(C718, customers!$A:$A, customers!$C:$C,,0))</f>
        <v>jdymokeje@prnewswire.com</v>
      </c>
      <c r="H718" s="2" t="str">
        <f>_xlfn.XLOOKUP(C718, customers!$A:$A, customers!$G:$G,,0)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f>INDEX(products!$A$1:$G$49,MATCH(orders!$D718,products!$A$1:$A$49,0),MATCH(orders!L$1,products!$A$1:$G$1,0))</f>
        <v>11.95</v>
      </c>
      <c r="M718">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cm="1">
        <f t="array" ref="F719">_xlfn.XLOOKUP(C719,customers!$A$1:$A1718,customers!$B$1:$B1718,,0)</f>
        <v>Willabella Harvison</v>
      </c>
      <c r="G719" s="2" t="str">
        <f>IF(_xlfn.XLOOKUP(C719, customers!$A:$A, customers!$C:$C,,0)=0, "", _xlfn.XLOOKUP(C719, customers!$A:$A, customers!$C:$C,,0))</f>
        <v>wharvisonjx@gizmodo.com</v>
      </c>
      <c r="H719" s="2" t="str">
        <f>_xlfn.XLOOKUP(C719, customers!$A:$A, customers!$G:$G,,0)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f>INDEX(products!$A$1:$G$49,MATCH(orders!$D719,products!$A$1:$A$49,0),MATCH(orders!L$1,products!$A$1:$G$1,0))</f>
        <v>22.884999999999998</v>
      </c>
      <c r="M719">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cm="1">
        <f t="array" ref="F720">_xlfn.XLOOKUP(C720,customers!$A$1:$A1719,customers!$B$1:$B1719,,0)</f>
        <v>Darice Heaford</v>
      </c>
      <c r="G720" s="2" t="str">
        <f>IF(_xlfn.XLOOKUP(C720, customers!$A:$A, customers!$C:$C,,0)=0, "", _xlfn.XLOOKUP(C720, customers!$A:$A, customers!$C:$C,,0))</f>
        <v>dheafordjy@twitpic.com</v>
      </c>
      <c r="H720" s="2" t="str">
        <f>_xlfn.XLOOKUP(C720, customers!$A:$A, customers!$G:$G,,0)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f>INDEX(products!$A$1:$G$49,MATCH(orders!$D720,products!$A$1:$A$49,0),MATCH(orders!L$1,products!$A$1:$G$1,0))</f>
        <v>12.95</v>
      </c>
      <c r="M720">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cm="1">
        <f t="array" ref="F721">_xlfn.XLOOKUP(C721,customers!$A$1:$A1720,customers!$B$1:$B1720,,0)</f>
        <v>Granger Fantham</v>
      </c>
      <c r="G721" s="2" t="str">
        <f>IF(_xlfn.XLOOKUP(C721, customers!$A:$A, customers!$C:$C,,0)=0, "", _xlfn.XLOOKUP(C721, customers!$A:$A, customers!$C:$C,,0))</f>
        <v>gfanthamjz@hexun.com</v>
      </c>
      <c r="H721" s="2" t="str">
        <f>_xlfn.XLOOKUP(C721, customers!$A:$A, customers!$G:$G,,0)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f>INDEX(products!$A$1:$G$49,MATCH(orders!$D721,products!$A$1:$A$49,0),MATCH(orders!L$1,products!$A$1:$G$1,0))</f>
        <v>15.85</v>
      </c>
      <c r="M721">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cm="1">
        <f t="array" ref="F722">_xlfn.XLOOKUP(C722,customers!$A$1:$A1721,customers!$B$1:$B1721,,0)</f>
        <v>Reynolds Crookshanks</v>
      </c>
      <c r="G722" s="2" t="str">
        <f>IF(_xlfn.XLOOKUP(C722, customers!$A:$A, customers!$C:$C,,0)=0, "", _xlfn.XLOOKUP(C722, customers!$A:$A, customers!$C:$C,,0))</f>
        <v>rcrookshanksk0@unc.edu</v>
      </c>
      <c r="H722" s="2" t="str">
        <f>_xlfn.XLOOKUP(C722, customers!$A:$A, customers!$G:$G,,0)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f>INDEX(products!$A$1:$G$49,MATCH(orders!$D722,products!$A$1:$A$49,0),MATCH(orders!L$1,products!$A$1:$G$1,0))</f>
        <v>7.29</v>
      </c>
      <c r="M722">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cm="1">
        <f t="array" ref="F723">_xlfn.XLOOKUP(C723,customers!$A$1:$A1722,customers!$B$1:$B1722,,0)</f>
        <v>Niels Leake</v>
      </c>
      <c r="G723" s="2" t="str">
        <f>IF(_xlfn.XLOOKUP(C723, customers!$A:$A, customers!$C:$C,,0)=0, "", _xlfn.XLOOKUP(C723, customers!$A:$A, customers!$C:$C,,0))</f>
        <v>nleakek1@cmu.edu</v>
      </c>
      <c r="H723" s="2" t="str">
        <f>_xlfn.XLOOKUP(C723, customers!$A:$A, customers!$G:$G,,0)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f>INDEX(products!$A$1:$G$49,MATCH(orders!$D723,products!$A$1:$A$49,0),MATCH(orders!L$1,products!$A$1:$G$1,0))</f>
        <v>2.9849999999999999</v>
      </c>
      <c r="M723">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cm="1">
        <f t="array" ref="F724">_xlfn.XLOOKUP(C724,customers!$A$1:$A1723,customers!$B$1:$B1723,,0)</f>
        <v>Hetti Measures</v>
      </c>
      <c r="G724" s="2" t="str">
        <f>IF(_xlfn.XLOOKUP(C724, customers!$A:$A, customers!$C:$C,,0)=0, "", _xlfn.XLOOKUP(C724, customers!$A:$A, customers!$C:$C,,0))</f>
        <v/>
      </c>
      <c r="H724" s="2" t="str">
        <f>_xlfn.XLOOKUP(C724, customers!$A:$A, customers!$G:$G,,0)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f>INDEX(products!$A$1:$G$49,MATCH(orders!$D724,products!$A$1:$A$49,0),MATCH(orders!L$1,products!$A$1:$G$1,0))</f>
        <v>12.15</v>
      </c>
      <c r="M724">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cm="1">
        <f t="array" ref="F725">_xlfn.XLOOKUP(C725,customers!$A$1:$A1724,customers!$B$1:$B1724,,0)</f>
        <v>Gay Eilhersen</v>
      </c>
      <c r="G725" s="2" t="str">
        <f>IF(_xlfn.XLOOKUP(C725, customers!$A:$A, customers!$C:$C,,0)=0, "", _xlfn.XLOOKUP(C725, customers!$A:$A, customers!$C:$C,,0))</f>
        <v>geilhersenk3@networksolutions.com</v>
      </c>
      <c r="H725" s="2" t="str">
        <f>_xlfn.XLOOKUP(C725, customers!$A:$A, customers!$G:$G,,0)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f>INDEX(products!$A$1:$G$49,MATCH(orders!$D725,products!$A$1:$A$49,0),MATCH(orders!L$1,products!$A$1:$G$1,0))</f>
        <v>31.624999999999996</v>
      </c>
      <c r="M72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cm="1">
        <f t="array" ref="F726">_xlfn.XLOOKUP(C726,customers!$A$1:$A1725,customers!$B$1:$B1725,,0)</f>
        <v>Nico Hubert</v>
      </c>
      <c r="G726" s="2" t="str">
        <f>IF(_xlfn.XLOOKUP(C726, customers!$A:$A, customers!$C:$C,,0)=0, "", _xlfn.XLOOKUP(C726, customers!$A:$A, customers!$C:$C,,0))</f>
        <v/>
      </c>
      <c r="H726" s="2" t="str">
        <f>_xlfn.XLOOKUP(C726, customers!$A:$A, customers!$G:$G,,0)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f>INDEX(products!$A$1:$G$49,MATCH(orders!$D726,products!$A$1:$A$49,0),MATCH(orders!L$1,products!$A$1:$G$1,0))</f>
        <v>3.375</v>
      </c>
      <c r="M726">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cm="1">
        <f t="array" ref="F727">_xlfn.XLOOKUP(C727,customers!$A$1:$A1726,customers!$B$1:$B1726,,0)</f>
        <v>Cristina Aleixo</v>
      </c>
      <c r="G727" s="2" t="str">
        <f>IF(_xlfn.XLOOKUP(C727, customers!$A:$A, customers!$C:$C,,0)=0, "", _xlfn.XLOOKUP(C727, customers!$A:$A, customers!$C:$C,,0))</f>
        <v>caleixok5@globo.com</v>
      </c>
      <c r="H727" s="2" t="str">
        <f>_xlfn.XLOOKUP(C727, customers!$A:$A, customers!$G:$G,,0)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f>INDEX(products!$A$1:$G$49,MATCH(orders!$D727,products!$A$1:$A$49,0),MATCH(orders!L$1,products!$A$1:$G$1,0))</f>
        <v>3.8849999999999998</v>
      </c>
      <c r="M727">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cm="1">
        <f t="array" ref="F728">_xlfn.XLOOKUP(C728,customers!$A$1:$A1727,customers!$B$1:$B1727,,0)</f>
        <v>Derrek Allpress</v>
      </c>
      <c r="G728" s="2" t="str">
        <f>IF(_xlfn.XLOOKUP(C728, customers!$A:$A, customers!$C:$C,,0)=0, "", _xlfn.XLOOKUP(C728, customers!$A:$A, customers!$C:$C,,0))</f>
        <v/>
      </c>
      <c r="H728" s="2" t="str">
        <f>_xlfn.XLOOKUP(C728, customers!$A:$A, customers!$G:$G,,0)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f>INDEX(products!$A$1:$G$49,MATCH(orders!$D728,products!$A$1:$A$49,0),MATCH(orders!L$1,products!$A$1:$G$1,0))</f>
        <v>36.454999999999998</v>
      </c>
      <c r="M728">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cm="1">
        <f t="array" ref="F729">_xlfn.XLOOKUP(C729,customers!$A$1:$A1728,customers!$B$1:$B1728,,0)</f>
        <v>Rikki Tomkowicz</v>
      </c>
      <c r="G729" s="2" t="str">
        <f>IF(_xlfn.XLOOKUP(C729, customers!$A:$A, customers!$C:$C,,0)=0, "", _xlfn.XLOOKUP(C729, customers!$A:$A, customers!$C:$C,,0))</f>
        <v>rtomkowiczk7@bravesites.com</v>
      </c>
      <c r="H729" s="2" t="str">
        <f>_xlfn.XLOOKUP(C729, customers!$A:$A, customers!$G:$G,,0)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f>INDEX(products!$A$1:$G$49,MATCH(orders!$D729,products!$A$1:$A$49,0),MATCH(orders!L$1,products!$A$1:$G$1,0))</f>
        <v>5.97</v>
      </c>
      <c r="M729">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cm="1">
        <f t="array" ref="F730">_xlfn.XLOOKUP(C730,customers!$A$1:$A1729,customers!$B$1:$B1729,,0)</f>
        <v>Rochette Huscroft</v>
      </c>
      <c r="G730" s="2" t="str">
        <f>IF(_xlfn.XLOOKUP(C730, customers!$A:$A, customers!$C:$C,,0)=0, "", _xlfn.XLOOKUP(C730, customers!$A:$A, customers!$C:$C,,0))</f>
        <v>rhuscroftk8@jimdo.com</v>
      </c>
      <c r="H730" s="2" t="str">
        <f>_xlfn.XLOOKUP(C730, customers!$A:$A, customers!$G:$G,,0)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f>INDEX(products!$A$1:$G$49,MATCH(orders!$D730,products!$A$1:$A$49,0),MATCH(orders!L$1,products!$A$1:$G$1,0))</f>
        <v>7.29</v>
      </c>
      <c r="M730">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cm="1">
        <f t="array" ref="F731">_xlfn.XLOOKUP(C731,customers!$A$1:$A1730,customers!$B$1:$B1730,,0)</f>
        <v>Selle Scurrer</v>
      </c>
      <c r="G731" s="2" t="str">
        <f>IF(_xlfn.XLOOKUP(C731, customers!$A:$A, customers!$C:$C,,0)=0, "", _xlfn.XLOOKUP(C731, customers!$A:$A, customers!$C:$C,,0))</f>
        <v>sscurrerk9@flavors.me</v>
      </c>
      <c r="H731" s="2" t="str">
        <f>_xlfn.XLOOKUP(C731, customers!$A:$A, customers!$G:$G,,0)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f>INDEX(products!$A$1:$G$49,MATCH(orders!$D731,products!$A$1:$A$49,0),MATCH(orders!L$1,products!$A$1:$G$1,0))</f>
        <v>4.3650000000000002</v>
      </c>
      <c r="M731">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cm="1">
        <f t="array" ref="F732">_xlfn.XLOOKUP(C732,customers!$A$1:$A1731,customers!$B$1:$B1731,,0)</f>
        <v>Andie Rudram</v>
      </c>
      <c r="G732" s="2" t="str">
        <f>IF(_xlfn.XLOOKUP(C732, customers!$A:$A, customers!$C:$C,,0)=0, "", _xlfn.XLOOKUP(C732, customers!$A:$A, customers!$C:$C,,0))</f>
        <v>arudramka@prnewswire.com</v>
      </c>
      <c r="H732" s="2" t="str">
        <f>_xlfn.XLOOKUP(C732, customers!$A:$A, customers!$G:$G,,0)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f>INDEX(products!$A$1:$G$49,MATCH(orders!$D732,products!$A$1:$A$49,0),MATCH(orders!L$1,products!$A$1:$G$1,0))</f>
        <v>36.454999999999998</v>
      </c>
      <c r="M732">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cm="1">
        <f t="array" ref="F733">_xlfn.XLOOKUP(C733,customers!$A$1:$A1732,customers!$B$1:$B1732,,0)</f>
        <v>Leta Clarricoates</v>
      </c>
      <c r="G733" s="2" t="str">
        <f>IF(_xlfn.XLOOKUP(C733, customers!$A:$A, customers!$C:$C,,0)=0, "", _xlfn.XLOOKUP(C733, customers!$A:$A, customers!$C:$C,,0))</f>
        <v/>
      </c>
      <c r="H733" s="2" t="str">
        <f>_xlfn.XLOOKUP(C733, customers!$A:$A, customers!$G:$G,,0)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f>INDEX(products!$A$1:$G$49,MATCH(orders!$D733,products!$A$1:$A$49,0),MATCH(orders!L$1,products!$A$1:$G$1,0))</f>
        <v>3.8849999999999998</v>
      </c>
      <c r="M733">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cm="1">
        <f t="array" ref="F734">_xlfn.XLOOKUP(C734,customers!$A$1:$A1733,customers!$B$1:$B1733,,0)</f>
        <v>Jacquelyn Maha</v>
      </c>
      <c r="G734" s="2" t="str">
        <f>IF(_xlfn.XLOOKUP(C734, customers!$A:$A, customers!$C:$C,,0)=0, "", _xlfn.XLOOKUP(C734, customers!$A:$A, customers!$C:$C,,0))</f>
        <v>jmahakc@cyberchimps.com</v>
      </c>
      <c r="H734" s="2" t="str">
        <f>_xlfn.XLOOKUP(C734, customers!$A:$A, customers!$G:$G,,0)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f>INDEX(products!$A$1:$G$49,MATCH(orders!$D734,products!$A$1:$A$49,0),MATCH(orders!L$1,products!$A$1:$G$1,0))</f>
        <v>4.4550000000000001</v>
      </c>
      <c r="M734">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cm="1">
        <f t="array" ref="F735">_xlfn.XLOOKUP(C735,customers!$A$1:$A1734,customers!$B$1:$B1734,,0)</f>
        <v>Glory Clemon</v>
      </c>
      <c r="G735" s="2" t="str">
        <f>IF(_xlfn.XLOOKUP(C735, customers!$A:$A, customers!$C:$C,,0)=0, "", _xlfn.XLOOKUP(C735, customers!$A:$A, customers!$C:$C,,0))</f>
        <v>gclemonkd@networksolutions.com</v>
      </c>
      <c r="H735" s="2" t="str">
        <f>_xlfn.XLOOKUP(C735, customers!$A:$A, customers!$G:$G,,0)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f>INDEX(products!$A$1:$G$49,MATCH(orders!$D735,products!$A$1:$A$49,0),MATCH(orders!L$1,products!$A$1:$G$1,0))</f>
        <v>33.464999999999996</v>
      </c>
      <c r="M73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cm="1">
        <f t="array" ref="F736">_xlfn.XLOOKUP(C736,customers!$A$1:$A1735,customers!$B$1:$B1735,,0)</f>
        <v>Alica Kift</v>
      </c>
      <c r="G736" s="2" t="str">
        <f>IF(_xlfn.XLOOKUP(C736, customers!$A:$A, customers!$C:$C,,0)=0, "", _xlfn.XLOOKUP(C736, customers!$A:$A, customers!$C:$C,,0))</f>
        <v/>
      </c>
      <c r="H736" s="2" t="str">
        <f>_xlfn.XLOOKUP(C736, customers!$A:$A, customers!$G:$G,,0)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f>INDEX(products!$A$1:$G$49,MATCH(orders!$D736,products!$A$1:$A$49,0),MATCH(orders!L$1,products!$A$1:$G$1,0))</f>
        <v>2.6849999999999996</v>
      </c>
      <c r="M736">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cm="1">
        <f t="array" ref="F737">_xlfn.XLOOKUP(C737,customers!$A$1:$A1736,customers!$B$1:$B1736,,0)</f>
        <v>Babb Pollins</v>
      </c>
      <c r="G737" s="2" t="str">
        <f>IF(_xlfn.XLOOKUP(C737, customers!$A:$A, customers!$C:$C,,0)=0, "", _xlfn.XLOOKUP(C737, customers!$A:$A, customers!$C:$C,,0))</f>
        <v>bpollinskf@shinystat.com</v>
      </c>
      <c r="H737" s="2" t="str">
        <f>_xlfn.XLOOKUP(C737, customers!$A:$A, customers!$G:$G,,0)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f>INDEX(products!$A$1:$G$49,MATCH(orders!$D737,products!$A$1:$A$49,0),MATCH(orders!L$1,products!$A$1:$G$1,0))</f>
        <v>3.645</v>
      </c>
      <c r="M737">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cm="1">
        <f t="array" ref="F738">_xlfn.XLOOKUP(C738,customers!$A$1:$A1737,customers!$B$1:$B1737,,0)</f>
        <v>Jarret Toye</v>
      </c>
      <c r="G738" s="2" t="str">
        <f>IF(_xlfn.XLOOKUP(C738, customers!$A:$A, customers!$C:$C,,0)=0, "", _xlfn.XLOOKUP(C738, customers!$A:$A, customers!$C:$C,,0))</f>
        <v>jtoyekg@pinterest.com</v>
      </c>
      <c r="H738" s="2" t="str">
        <f>_xlfn.XLOOKUP(C738, customers!$A:$A, customers!$G:$G,,0)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f>INDEX(products!$A$1:$G$49,MATCH(orders!$D738,products!$A$1:$A$49,0),MATCH(orders!L$1,products!$A$1:$G$1,0))</f>
        <v>12.95</v>
      </c>
      <c r="M738">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cm="1">
        <f t="array" ref="F739">_xlfn.XLOOKUP(C739,customers!$A$1:$A1738,customers!$B$1:$B1738,,0)</f>
        <v>Carlie Linskill</v>
      </c>
      <c r="G739" s="2" t="str">
        <f>IF(_xlfn.XLOOKUP(C739, customers!$A:$A, customers!$C:$C,,0)=0, "", _xlfn.XLOOKUP(C739, customers!$A:$A, customers!$C:$C,,0))</f>
        <v>clinskillkh@sphinn.com</v>
      </c>
      <c r="H739" s="2" t="str">
        <f>_xlfn.XLOOKUP(C739, customers!$A:$A, customers!$G:$G,,0)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f>INDEX(products!$A$1:$G$49,MATCH(orders!$D739,products!$A$1:$A$49,0),MATCH(orders!L$1,products!$A$1:$G$1,0))</f>
        <v>11.25</v>
      </c>
      <c r="M739">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cm="1">
        <f t="array" ref="F740">_xlfn.XLOOKUP(C740,customers!$A$1:$A1739,customers!$B$1:$B1739,,0)</f>
        <v>Natal Vigrass</v>
      </c>
      <c r="G740" s="2" t="str">
        <f>IF(_xlfn.XLOOKUP(C740, customers!$A:$A, customers!$C:$C,,0)=0, "", _xlfn.XLOOKUP(C740, customers!$A:$A, customers!$C:$C,,0))</f>
        <v>nvigrasski@ezinearticles.com</v>
      </c>
      <c r="H740" s="2" t="str">
        <f>_xlfn.XLOOKUP(C740, customers!$A:$A, customers!$G:$G,,0)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f>INDEX(products!$A$1:$G$49,MATCH(orders!$D740,products!$A$1:$A$49,0),MATCH(orders!L$1,products!$A$1:$G$1,0))</f>
        <v>3.5849999999999995</v>
      </c>
      <c r="M740">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cm="1">
        <f t="array" ref="F741">_xlfn.XLOOKUP(C741,customers!$A$1:$A1740,customers!$B$1:$B1740,,0)</f>
        <v>Jimmy Dymoke</v>
      </c>
      <c r="G741" s="2" t="str">
        <f>IF(_xlfn.XLOOKUP(C741, customers!$A:$A, customers!$C:$C,,0)=0, "", _xlfn.XLOOKUP(C741, customers!$A:$A, customers!$C:$C,,0))</f>
        <v>jdymokeje@prnewswire.com</v>
      </c>
      <c r="H741" s="2" t="str">
        <f>_xlfn.XLOOKUP(C741, customers!$A:$A, customers!$G:$G,,0)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f>INDEX(products!$A$1:$G$49,MATCH(orders!$D741,products!$A$1:$A$49,0),MATCH(orders!L$1,products!$A$1:$G$1,0))</f>
        <v>3.645</v>
      </c>
      <c r="M741">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cm="1">
        <f t="array" ref="F742">_xlfn.XLOOKUP(C742,customers!$A$1:$A1741,customers!$B$1:$B1741,,0)</f>
        <v>Kandace Cragell</v>
      </c>
      <c r="G742" s="2" t="str">
        <f>IF(_xlfn.XLOOKUP(C742, customers!$A:$A, customers!$C:$C,,0)=0, "", _xlfn.XLOOKUP(C742, customers!$A:$A, customers!$C:$C,,0))</f>
        <v>kcragellkk@google.com</v>
      </c>
      <c r="H742" s="2" t="str">
        <f>_xlfn.XLOOKUP(C742, customers!$A:$A, customers!$G:$G,,0)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f>INDEX(products!$A$1:$G$49,MATCH(orders!$D742,products!$A$1:$A$49,0),MATCH(orders!L$1,products!$A$1:$G$1,0))</f>
        <v>7.169999999999999</v>
      </c>
      <c r="M742">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cm="1">
        <f t="array" ref="F743">_xlfn.XLOOKUP(C743,customers!$A$1:$A1742,customers!$B$1:$B1742,,0)</f>
        <v>Lyon Ibert</v>
      </c>
      <c r="G743" s="2" t="str">
        <f>IF(_xlfn.XLOOKUP(C743, customers!$A:$A, customers!$C:$C,,0)=0, "", _xlfn.XLOOKUP(C743, customers!$A:$A, customers!$C:$C,,0))</f>
        <v>libertkl@huffingtonpost.com</v>
      </c>
      <c r="H743" s="2" t="str">
        <f>_xlfn.XLOOKUP(C743, customers!$A:$A, customers!$G:$G,,0)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f>INDEX(products!$A$1:$G$49,MATCH(orders!$D743,products!$A$1:$A$49,0),MATCH(orders!L$1,products!$A$1:$G$1,0))</f>
        <v>4.3650000000000002</v>
      </c>
      <c r="M743">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cm="1">
        <f t="array" ref="F744">_xlfn.XLOOKUP(C744,customers!$A$1:$A1743,customers!$B$1:$B1743,,0)</f>
        <v>Reese Lidgey</v>
      </c>
      <c r="G744" s="2" t="str">
        <f>IF(_xlfn.XLOOKUP(C744, customers!$A:$A, customers!$C:$C,,0)=0, "", _xlfn.XLOOKUP(C744, customers!$A:$A, customers!$C:$C,,0))</f>
        <v>rlidgeykm@vimeo.com</v>
      </c>
      <c r="H744" s="2" t="str">
        <f>_xlfn.XLOOKUP(C744, customers!$A:$A, customers!$G:$G,,0)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f>INDEX(products!$A$1:$G$49,MATCH(orders!$D744,products!$A$1:$A$49,0),MATCH(orders!L$1,products!$A$1:$G$1,0))</f>
        <v>14.55</v>
      </c>
      <c r="M744">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cm="1">
        <f t="array" ref="F745">_xlfn.XLOOKUP(C745,customers!$A$1:$A1744,customers!$B$1:$B1744,,0)</f>
        <v>Tersina Castagne</v>
      </c>
      <c r="G745" s="2" t="str">
        <f>IF(_xlfn.XLOOKUP(C745, customers!$A:$A, customers!$C:$C,,0)=0, "", _xlfn.XLOOKUP(C745, customers!$A:$A, customers!$C:$C,,0))</f>
        <v>tcastagnekn@wikia.com</v>
      </c>
      <c r="H745" s="2" t="str">
        <f>_xlfn.XLOOKUP(C745, customers!$A:$A, customers!$G:$G,,0)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f>INDEX(products!$A$1:$G$49,MATCH(orders!$D745,products!$A$1:$A$49,0),MATCH(orders!L$1,products!$A$1:$G$1,0))</f>
        <v>5.97</v>
      </c>
      <c r="M74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cm="1">
        <f t="array" ref="F746">_xlfn.XLOOKUP(C746,customers!$A$1:$A1745,customers!$B$1:$B1745,,0)</f>
        <v>Samuele Klaaassen</v>
      </c>
      <c r="G746" s="2" t="str">
        <f>IF(_xlfn.XLOOKUP(C746, customers!$A:$A, customers!$C:$C,,0)=0, "", _xlfn.XLOOKUP(C746, customers!$A:$A, customers!$C:$C,,0))</f>
        <v/>
      </c>
      <c r="H746" s="2" t="str">
        <f>_xlfn.XLOOKUP(C746, customers!$A:$A, customers!$G:$G,,0)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f>INDEX(products!$A$1:$G$49,MATCH(orders!$D746,products!$A$1:$A$49,0),MATCH(orders!L$1,products!$A$1:$G$1,0))</f>
        <v>2.9849999999999999</v>
      </c>
      <c r="M746">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cm="1">
        <f t="array" ref="F747">_xlfn.XLOOKUP(C747,customers!$A$1:$A1746,customers!$B$1:$B1746,,0)</f>
        <v>Jordana Halden</v>
      </c>
      <c r="G747" s="2" t="str">
        <f>IF(_xlfn.XLOOKUP(C747, customers!$A:$A, customers!$C:$C,,0)=0, "", _xlfn.XLOOKUP(C747, customers!$A:$A, customers!$C:$C,,0))</f>
        <v>jhaldenkp@comcast.net</v>
      </c>
      <c r="H747" s="2" t="str">
        <f>_xlfn.XLOOKUP(C747, customers!$A:$A, customers!$G:$G,,0)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f>INDEX(products!$A$1:$G$49,MATCH(orders!$D747,products!$A$1:$A$49,0),MATCH(orders!L$1,products!$A$1:$G$1,0))</f>
        <v>7.29</v>
      </c>
      <c r="M747">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cm="1">
        <f t="array" ref="F748">_xlfn.XLOOKUP(C748,customers!$A$1:$A1747,customers!$B$1:$B1747,,0)</f>
        <v>Hussein Olliff</v>
      </c>
      <c r="G748" s="2" t="str">
        <f>IF(_xlfn.XLOOKUP(C748, customers!$A:$A, customers!$C:$C,,0)=0, "", _xlfn.XLOOKUP(C748, customers!$A:$A, customers!$C:$C,,0))</f>
        <v>holliffkq@sciencedirect.com</v>
      </c>
      <c r="H748" s="2" t="str">
        <f>_xlfn.XLOOKUP(C748, customers!$A:$A, customers!$G:$G,,0)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f>INDEX(products!$A$1:$G$49,MATCH(orders!$D748,products!$A$1:$A$49,0),MATCH(orders!L$1,products!$A$1:$G$1,0))</f>
        <v>11.25</v>
      </c>
      <c r="M748">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cm="1">
        <f t="array" ref="F749">_xlfn.XLOOKUP(C749,customers!$A$1:$A1748,customers!$B$1:$B1748,,0)</f>
        <v>Teddi Quadri</v>
      </c>
      <c r="G749" s="2" t="str">
        <f>IF(_xlfn.XLOOKUP(C749, customers!$A:$A, customers!$C:$C,,0)=0, "", _xlfn.XLOOKUP(C749, customers!$A:$A, customers!$C:$C,,0))</f>
        <v>tquadrikr@opensource.org</v>
      </c>
      <c r="H749" s="2" t="str">
        <f>_xlfn.XLOOKUP(C749, customers!$A:$A, customers!$G:$G,,0)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f>INDEX(products!$A$1:$G$49,MATCH(orders!$D749,products!$A$1:$A$49,0),MATCH(orders!L$1,products!$A$1:$G$1,0))</f>
        <v>8.73</v>
      </c>
      <c r="M749">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cm="1">
        <f t="array" ref="F750">_xlfn.XLOOKUP(C750,customers!$A$1:$A1749,customers!$B$1:$B1749,,0)</f>
        <v>Felita Eshmade</v>
      </c>
      <c r="G750" s="2" t="str">
        <f>IF(_xlfn.XLOOKUP(C750, customers!$A:$A, customers!$C:$C,,0)=0, "", _xlfn.XLOOKUP(C750, customers!$A:$A, customers!$C:$C,,0))</f>
        <v>feshmadeks@umn.edu</v>
      </c>
      <c r="H750" s="2" t="str">
        <f>_xlfn.XLOOKUP(C750, customers!$A:$A, customers!$G:$G,,0)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f>INDEX(products!$A$1:$G$49,MATCH(orders!$D750,products!$A$1:$A$49,0),MATCH(orders!L$1,products!$A$1:$G$1,0))</f>
        <v>7.29</v>
      </c>
      <c r="M750">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cm="1">
        <f t="array" ref="F751">_xlfn.XLOOKUP(C751,customers!$A$1:$A1750,customers!$B$1:$B1750,,0)</f>
        <v>Melodie OIlier</v>
      </c>
      <c r="G751" s="2" t="str">
        <f>IF(_xlfn.XLOOKUP(C751, customers!$A:$A, customers!$C:$C,,0)=0, "", _xlfn.XLOOKUP(C751, customers!$A:$A, customers!$C:$C,,0))</f>
        <v>moilierkt@paginegialle.it</v>
      </c>
      <c r="H751" s="2" t="str">
        <f>_xlfn.XLOOKUP(C751, customers!$A:$A, customers!$G:$G,,0)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f>INDEX(products!$A$1:$G$49,MATCH(orders!$D751,products!$A$1:$A$49,0),MATCH(orders!L$1,products!$A$1:$G$1,0))</f>
        <v>2.6849999999999996</v>
      </c>
      <c r="M751">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cm="1">
        <f t="array" ref="F752">_xlfn.XLOOKUP(C752,customers!$A$1:$A1751,customers!$B$1:$B1751,,0)</f>
        <v>Hazel Iacopini</v>
      </c>
      <c r="G752" s="2" t="str">
        <f>IF(_xlfn.XLOOKUP(C752, customers!$A:$A, customers!$C:$C,,0)=0, "", _xlfn.XLOOKUP(C752, customers!$A:$A, customers!$C:$C,,0))</f>
        <v/>
      </c>
      <c r="H752" s="2" t="str">
        <f>_xlfn.XLOOKUP(C752, customers!$A:$A, customers!$G:$G,,0)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f>INDEX(products!$A$1:$G$49,MATCH(orders!$D752,products!$A$1:$A$49,0),MATCH(orders!L$1,products!$A$1:$G$1,0))</f>
        <v>5.97</v>
      </c>
      <c r="M752">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cm="1">
        <f t="array" ref="F753">_xlfn.XLOOKUP(C753,customers!$A$1:$A1752,customers!$B$1:$B1752,,0)</f>
        <v>Vinny Shoebotham</v>
      </c>
      <c r="G753" s="2" t="str">
        <f>IF(_xlfn.XLOOKUP(C753, customers!$A:$A, customers!$C:$C,,0)=0, "", _xlfn.XLOOKUP(C753, customers!$A:$A, customers!$C:$C,,0))</f>
        <v>vshoebothamkv@redcross.org</v>
      </c>
      <c r="H753" s="2" t="str">
        <f>_xlfn.XLOOKUP(C753, customers!$A:$A, customers!$G:$G,,0)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f>INDEX(products!$A$1:$G$49,MATCH(orders!$D753,products!$A$1:$A$49,0),MATCH(orders!L$1,products!$A$1:$G$1,0))</f>
        <v>9.51</v>
      </c>
      <c r="M753">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cm="1">
        <f t="array" ref="F754">_xlfn.XLOOKUP(C754,customers!$A$1:$A1753,customers!$B$1:$B1753,,0)</f>
        <v>Bran Sterke</v>
      </c>
      <c r="G754" s="2" t="str">
        <f>IF(_xlfn.XLOOKUP(C754, customers!$A:$A, customers!$C:$C,,0)=0, "", _xlfn.XLOOKUP(C754, customers!$A:$A, customers!$C:$C,,0))</f>
        <v>bsterkekw@biblegateway.com</v>
      </c>
      <c r="H754" s="2" t="str">
        <f>_xlfn.XLOOKUP(C754, customers!$A:$A, customers!$G:$G,,0)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f>INDEX(products!$A$1:$G$49,MATCH(orders!$D754,products!$A$1:$A$49,0),MATCH(orders!L$1,products!$A$1:$G$1,0))</f>
        <v>13.75</v>
      </c>
      <c r="M754">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cm="1">
        <f t="array" ref="F755">_xlfn.XLOOKUP(C755,customers!$A$1:$A1754,customers!$B$1:$B1754,,0)</f>
        <v>Simone Capon</v>
      </c>
      <c r="G755" s="2" t="str">
        <f>IF(_xlfn.XLOOKUP(C755, customers!$A:$A, customers!$C:$C,,0)=0, "", _xlfn.XLOOKUP(C755, customers!$A:$A, customers!$C:$C,,0))</f>
        <v>scaponkx@craigslist.org</v>
      </c>
      <c r="H755" s="2" t="str">
        <f>_xlfn.XLOOKUP(C755, customers!$A:$A, customers!$G:$G,,0)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f>INDEX(products!$A$1:$G$49,MATCH(orders!$D755,products!$A$1:$A$49,0),MATCH(orders!L$1,products!$A$1:$G$1,0))</f>
        <v>5.97</v>
      </c>
      <c r="M75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cm="1">
        <f t="array" ref="F756">_xlfn.XLOOKUP(C756,customers!$A$1:$A1755,customers!$B$1:$B1755,,0)</f>
        <v>Jimmy Dymoke</v>
      </c>
      <c r="G756" s="2" t="str">
        <f>IF(_xlfn.XLOOKUP(C756, customers!$A:$A, customers!$C:$C,,0)=0, "", _xlfn.XLOOKUP(C756, customers!$A:$A, customers!$C:$C,,0))</f>
        <v>jdymokeje@prnewswire.com</v>
      </c>
      <c r="H756" s="2" t="str">
        <f>_xlfn.XLOOKUP(C756, customers!$A:$A, customers!$G:$G,,0)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f>INDEX(products!$A$1:$G$49,MATCH(orders!$D756,products!$A$1:$A$49,0),MATCH(orders!L$1,products!$A$1:$G$1,0))</f>
        <v>2.9849999999999999</v>
      </c>
      <c r="M756">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cm="1">
        <f t="array" ref="F757">_xlfn.XLOOKUP(C757,customers!$A$1:$A1756,customers!$B$1:$B1756,,0)</f>
        <v>Foster Constance</v>
      </c>
      <c r="G757" s="2" t="str">
        <f>IF(_xlfn.XLOOKUP(C757, customers!$A:$A, customers!$C:$C,,0)=0, "", _xlfn.XLOOKUP(C757, customers!$A:$A, customers!$C:$C,,0))</f>
        <v>fconstancekz@ifeng.com</v>
      </c>
      <c r="H757" s="2" t="str">
        <f>_xlfn.XLOOKUP(C757, customers!$A:$A, customers!$G:$G,,0)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f>INDEX(products!$A$1:$G$49,MATCH(orders!$D757,products!$A$1:$A$49,0),MATCH(orders!L$1,products!$A$1:$G$1,0))</f>
        <v>4.7549999999999999</v>
      </c>
      <c r="M757">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cm="1">
        <f t="array" ref="F758">_xlfn.XLOOKUP(C758,customers!$A$1:$A1757,customers!$B$1:$B1757,,0)</f>
        <v>Fernando Sulman</v>
      </c>
      <c r="G758" s="2" t="str">
        <f>IF(_xlfn.XLOOKUP(C758, customers!$A:$A, customers!$C:$C,,0)=0, "", _xlfn.XLOOKUP(C758, customers!$A:$A, customers!$C:$C,,0))</f>
        <v>fsulmanl0@washington.edu</v>
      </c>
      <c r="H758" s="2" t="str">
        <f>_xlfn.XLOOKUP(C758, customers!$A:$A, customers!$G:$G,,0)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f>INDEX(products!$A$1:$G$49,MATCH(orders!$D758,products!$A$1:$A$49,0),MATCH(orders!L$1,products!$A$1:$G$1,0))</f>
        <v>8.9499999999999993</v>
      </c>
      <c r="M758">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cm="1">
        <f t="array" ref="F759">_xlfn.XLOOKUP(C759,customers!$A$1:$A1758,customers!$B$1:$B1758,,0)</f>
        <v>Dorotea Hollyman</v>
      </c>
      <c r="G759" s="2" t="str">
        <f>IF(_xlfn.XLOOKUP(C759, customers!$A:$A, customers!$C:$C,,0)=0, "", _xlfn.XLOOKUP(C759, customers!$A:$A, customers!$C:$C,,0))</f>
        <v>dhollymanl1@ibm.com</v>
      </c>
      <c r="H759" s="2" t="str">
        <f>_xlfn.XLOOKUP(C759, customers!$A:$A, customers!$G:$G,,0)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f>INDEX(products!$A$1:$G$49,MATCH(orders!$D759,products!$A$1:$A$49,0),MATCH(orders!L$1,products!$A$1:$G$1,0))</f>
        <v>5.97</v>
      </c>
      <c r="M759">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cm="1">
        <f t="array" ref="F760">_xlfn.XLOOKUP(C760,customers!$A$1:$A1759,customers!$B$1:$B1759,,0)</f>
        <v>Lorelei Nardoni</v>
      </c>
      <c r="G760" s="2" t="str">
        <f>IF(_xlfn.XLOOKUP(C760, customers!$A:$A, customers!$C:$C,,0)=0, "", _xlfn.XLOOKUP(C760, customers!$A:$A, customers!$C:$C,,0))</f>
        <v>lnardonil2@hao123.com</v>
      </c>
      <c r="H760" s="2" t="str">
        <f>_xlfn.XLOOKUP(C760, customers!$A:$A, customers!$G:$G,,0)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f>INDEX(products!$A$1:$G$49,MATCH(orders!$D760,products!$A$1:$A$49,0),MATCH(orders!L$1,products!$A$1:$G$1,0))</f>
        <v>8.9499999999999993</v>
      </c>
      <c r="M760">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cm="1">
        <f t="array" ref="F761">_xlfn.XLOOKUP(C761,customers!$A$1:$A1760,customers!$B$1:$B1760,,0)</f>
        <v>Dallas Yarham</v>
      </c>
      <c r="G761" s="2" t="str">
        <f>IF(_xlfn.XLOOKUP(C761, customers!$A:$A, customers!$C:$C,,0)=0, "", _xlfn.XLOOKUP(C761, customers!$A:$A, customers!$C:$C,,0))</f>
        <v>dyarhaml3@moonfruit.com</v>
      </c>
      <c r="H761" s="2" t="str">
        <f>_xlfn.XLOOKUP(C761, customers!$A:$A, customers!$G:$G,,0)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f>INDEX(products!$A$1:$G$49,MATCH(orders!$D761,products!$A$1:$A$49,0),MATCH(orders!L$1,products!$A$1:$G$1,0))</f>
        <v>29.784999999999997</v>
      </c>
      <c r="M761">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cm="1">
        <f t="array" ref="F762">_xlfn.XLOOKUP(C762,customers!$A$1:$A1761,customers!$B$1:$B1761,,0)</f>
        <v>Arlana Ferrea</v>
      </c>
      <c r="G762" s="2" t="str">
        <f>IF(_xlfn.XLOOKUP(C762, customers!$A:$A, customers!$C:$C,,0)=0, "", _xlfn.XLOOKUP(C762, customers!$A:$A, customers!$C:$C,,0))</f>
        <v>aferreal4@wikia.com</v>
      </c>
      <c r="H762" s="2" t="str">
        <f>_xlfn.XLOOKUP(C762, customers!$A:$A, customers!$G:$G,,0)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f>INDEX(products!$A$1:$G$49,MATCH(orders!$D762,products!$A$1:$A$49,0),MATCH(orders!L$1,products!$A$1:$G$1,0))</f>
        <v>8.91</v>
      </c>
      <c r="M762">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cm="1">
        <f t="array" ref="F763">_xlfn.XLOOKUP(C763,customers!$A$1:$A1762,customers!$B$1:$B1762,,0)</f>
        <v>Chuck Kendrick</v>
      </c>
      <c r="G763" s="2" t="str">
        <f>IF(_xlfn.XLOOKUP(C763, customers!$A:$A, customers!$C:$C,,0)=0, "", _xlfn.XLOOKUP(C763, customers!$A:$A, customers!$C:$C,,0))</f>
        <v>ckendrickl5@webnode.com</v>
      </c>
      <c r="H763" s="2" t="str">
        <f>_xlfn.XLOOKUP(C763, customers!$A:$A, customers!$G:$G,,0)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f>INDEX(products!$A$1:$G$49,MATCH(orders!$D763,products!$A$1:$A$49,0),MATCH(orders!L$1,products!$A$1:$G$1,0))</f>
        <v>14.85</v>
      </c>
      <c r="M763">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cm="1">
        <f t="array" ref="F764">_xlfn.XLOOKUP(C764,customers!$A$1:$A1763,customers!$B$1:$B1763,,0)</f>
        <v>Sharona Danilchik</v>
      </c>
      <c r="G764" s="2" t="str">
        <f>IF(_xlfn.XLOOKUP(C764, customers!$A:$A, customers!$C:$C,,0)=0, "", _xlfn.XLOOKUP(C764, customers!$A:$A, customers!$C:$C,,0))</f>
        <v>sdanilchikl6@mit.edu</v>
      </c>
      <c r="H764" s="2" t="str">
        <f>_xlfn.XLOOKUP(C764, customers!$A:$A, customers!$G:$G,,0)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f>INDEX(products!$A$1:$G$49,MATCH(orders!$D764,products!$A$1:$A$49,0),MATCH(orders!L$1,products!$A$1:$G$1,0))</f>
        <v>8.73</v>
      </c>
      <c r="M764">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cm="1">
        <f t="array" ref="F765">_xlfn.XLOOKUP(C765,customers!$A$1:$A1764,customers!$B$1:$B1764,,0)</f>
        <v>Sarajane Potter</v>
      </c>
      <c r="G765" s="2" t="str">
        <f>IF(_xlfn.XLOOKUP(C765, customers!$A:$A, customers!$C:$C,,0)=0, "", _xlfn.XLOOKUP(C765, customers!$A:$A, customers!$C:$C,,0))</f>
        <v/>
      </c>
      <c r="H765" s="2" t="str">
        <f>_xlfn.XLOOKUP(C765, customers!$A:$A, customers!$G:$G,,0)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f>INDEX(products!$A$1:$G$49,MATCH(orders!$D765,products!$A$1:$A$49,0),MATCH(orders!L$1,products!$A$1:$G$1,0))</f>
        <v>7.77</v>
      </c>
      <c r="M76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cm="1">
        <f t="array" ref="F766">_xlfn.XLOOKUP(C766,customers!$A$1:$A1765,customers!$B$1:$B1765,,0)</f>
        <v>Bobby Folomkin</v>
      </c>
      <c r="G766" s="2" t="str">
        <f>IF(_xlfn.XLOOKUP(C766, customers!$A:$A, customers!$C:$C,,0)=0, "", _xlfn.XLOOKUP(C766, customers!$A:$A, customers!$C:$C,,0))</f>
        <v>bfolomkinl8@yolasite.com</v>
      </c>
      <c r="H766" s="2" t="str">
        <f>_xlfn.XLOOKUP(C766, customers!$A:$A, customers!$G:$G,,0)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f>INDEX(products!$A$1:$G$49,MATCH(orders!$D766,products!$A$1:$A$49,0),MATCH(orders!L$1,products!$A$1:$G$1,0))</f>
        <v>29.784999999999997</v>
      </c>
      <c r="M766">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cm="1">
        <f t="array" ref="F767">_xlfn.XLOOKUP(C767,customers!$A$1:$A1766,customers!$B$1:$B1766,,0)</f>
        <v>Rafferty Pursglove</v>
      </c>
      <c r="G767" s="2" t="str">
        <f>IF(_xlfn.XLOOKUP(C767, customers!$A:$A, customers!$C:$C,,0)=0, "", _xlfn.XLOOKUP(C767, customers!$A:$A, customers!$C:$C,,0))</f>
        <v>rpursglovel9@biblegateway.com</v>
      </c>
      <c r="H767" s="2" t="str">
        <f>_xlfn.XLOOKUP(C767, customers!$A:$A, customers!$G:$G,,0)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f>INDEX(products!$A$1:$G$49,MATCH(orders!$D767,products!$A$1:$A$49,0),MATCH(orders!L$1,products!$A$1:$G$1,0))</f>
        <v>9.9499999999999993</v>
      </c>
      <c r="M767">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cm="1">
        <f t="array" ref="F768">_xlfn.XLOOKUP(C768,customers!$A$1:$A1767,customers!$B$1:$B1767,,0)</f>
        <v>Rafferty Pursglove</v>
      </c>
      <c r="G768" s="2" t="str">
        <f>IF(_xlfn.XLOOKUP(C768, customers!$A:$A, customers!$C:$C,,0)=0, "", _xlfn.XLOOKUP(C768, customers!$A:$A, customers!$C:$C,,0))</f>
        <v>rpursglovel9@biblegateway.com</v>
      </c>
      <c r="H768" s="2" t="str">
        <f>_xlfn.XLOOKUP(C768, customers!$A:$A, customers!$G:$G,,0)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f>INDEX(products!$A$1:$G$49,MATCH(orders!$D768,products!$A$1:$A$49,0),MATCH(orders!L$1,products!$A$1:$G$1,0))</f>
        <v>7.77</v>
      </c>
      <c r="M768">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cm="1">
        <f t="array" ref="F769">_xlfn.XLOOKUP(C769,customers!$A$1:$A1768,customers!$B$1:$B1768,,0)</f>
        <v>Foster Constance</v>
      </c>
      <c r="G769" s="2" t="str">
        <f>IF(_xlfn.XLOOKUP(C769, customers!$A:$A, customers!$C:$C,,0)=0, "", _xlfn.XLOOKUP(C769, customers!$A:$A, customers!$C:$C,,0))</f>
        <v>fconstancekz@ifeng.com</v>
      </c>
      <c r="H769" s="2" t="str">
        <f>_xlfn.XLOOKUP(C769, customers!$A:$A, customers!$G:$G,,0)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f>INDEX(products!$A$1:$G$49,MATCH(orders!$D769,products!$A$1:$A$49,0),MATCH(orders!L$1,products!$A$1:$G$1,0))</f>
        <v>29.784999999999997</v>
      </c>
      <c r="M769">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cm="1">
        <f t="array" ref="F770">_xlfn.XLOOKUP(C770,customers!$A$1:$A1769,customers!$B$1:$B1769,,0)</f>
        <v>Foster Constance</v>
      </c>
      <c r="G770" s="2" t="str">
        <f>IF(_xlfn.XLOOKUP(C770, customers!$A:$A, customers!$C:$C,,0)=0, "", _xlfn.XLOOKUP(C770, customers!$A:$A, customers!$C:$C,,0))</f>
        <v>fconstancekz@ifeng.com</v>
      </c>
      <c r="H770" s="2" t="str">
        <f>_xlfn.XLOOKUP(C770, customers!$A:$A, customers!$G:$G,,0)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f>INDEX(products!$A$1:$G$49,MATCH(orders!$D770,products!$A$1:$A$49,0),MATCH(orders!L$1,products!$A$1:$G$1,0))</f>
        <v>11.95</v>
      </c>
      <c r="M770">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cm="1">
        <f t="array" ref="F771">_xlfn.XLOOKUP(C771,customers!$A$1:$A1770,customers!$B$1:$B1770,,0)</f>
        <v>Dalia Eburah</v>
      </c>
      <c r="G771" s="2" t="str">
        <f>IF(_xlfn.XLOOKUP(C771, customers!$A:$A, customers!$C:$C,,0)=0, "", _xlfn.XLOOKUP(C771, customers!$A:$A, customers!$C:$C,,0))</f>
        <v>deburahld@google.co.jp</v>
      </c>
      <c r="H771" s="2" t="str">
        <f>_xlfn.XLOOKUP(C771, customers!$A:$A, customers!$G:$G,,0)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f>INDEX(products!$A$1:$G$49,MATCH(orders!$D771,products!$A$1:$A$49,0),MATCH(orders!L$1,products!$A$1:$G$1,0))</f>
        <v>22.884999999999998</v>
      </c>
      <c r="M771">
        <f t="shared" ref="M771:M834" si="36">L771*E771</f>
        <v>137.31</v>
      </c>
      <c r="N771" t="str">
        <f t="shared" ref="N771:N834" si="37">IF(I771="Rob", "Robusta", IF(I771="Exc","Excelsa",IF(I771="Ara","Arabica", 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cm="1">
        <f t="array" ref="F772">_xlfn.XLOOKUP(C772,customers!$A$1:$A1771,customers!$B$1:$B1771,,0)</f>
        <v>Martie Brimilcombe</v>
      </c>
      <c r="G772" s="2" t="str">
        <f>IF(_xlfn.XLOOKUP(C772, customers!$A:$A, customers!$C:$C,,0)=0, "", _xlfn.XLOOKUP(C772, customers!$A:$A, customers!$C:$C,,0))</f>
        <v>mbrimilcombele@cnn.com</v>
      </c>
      <c r="H772" s="2" t="str">
        <f>_xlfn.XLOOKUP(C772, customers!$A:$A, customers!$G:$G,,0)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f>INDEX(products!$A$1:$G$49,MATCH(orders!$D772,products!$A$1:$A$49,0),MATCH(orders!L$1,products!$A$1:$G$1,0))</f>
        <v>9.9499999999999993</v>
      </c>
      <c r="M772">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cm="1">
        <f t="array" ref="F773">_xlfn.XLOOKUP(C773,customers!$A$1:$A1772,customers!$B$1:$B1772,,0)</f>
        <v>Suzanna Bollam</v>
      </c>
      <c r="G773" s="2" t="str">
        <f>IF(_xlfn.XLOOKUP(C773, customers!$A:$A, customers!$C:$C,,0)=0, "", _xlfn.XLOOKUP(C773, customers!$A:$A, customers!$C:$C,,0))</f>
        <v>sbollamlf@list-manage.com</v>
      </c>
      <c r="H773" s="2" t="str">
        <f>_xlfn.XLOOKUP(C773, customers!$A:$A, customers!$G:$G,,0)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f>INDEX(products!$A$1:$G$49,MATCH(orders!$D773,products!$A$1:$A$49,0),MATCH(orders!L$1,products!$A$1:$G$1,0))</f>
        <v>7.169999999999999</v>
      </c>
      <c r="M773">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cm="1">
        <f t="array" ref="F774">_xlfn.XLOOKUP(C774,customers!$A$1:$A1773,customers!$B$1:$B1773,,0)</f>
        <v>Mellisa Mebes</v>
      </c>
      <c r="G774" s="2" t="str">
        <f>IF(_xlfn.XLOOKUP(C774, customers!$A:$A, customers!$C:$C,,0)=0, "", _xlfn.XLOOKUP(C774, customers!$A:$A, customers!$C:$C,,0))</f>
        <v/>
      </c>
      <c r="H774" s="2" t="str">
        <f>_xlfn.XLOOKUP(C774, customers!$A:$A, customers!$G:$G,,0)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f>INDEX(products!$A$1:$G$49,MATCH(orders!$D774,products!$A$1:$A$49,0),MATCH(orders!L$1,products!$A$1:$G$1,0))</f>
        <v>13.75</v>
      </c>
      <c r="M774">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cm="1">
        <f t="array" ref="F775">_xlfn.XLOOKUP(C775,customers!$A$1:$A1774,customers!$B$1:$B1774,,0)</f>
        <v>Alva Filipczak</v>
      </c>
      <c r="G775" s="2" t="str">
        <f>IF(_xlfn.XLOOKUP(C775, customers!$A:$A, customers!$C:$C,,0)=0, "", _xlfn.XLOOKUP(C775, customers!$A:$A, customers!$C:$C,,0))</f>
        <v>afilipczaklh@ning.com</v>
      </c>
      <c r="H775" s="2" t="str">
        <f>_xlfn.XLOOKUP(C775, customers!$A:$A, customers!$G:$G,,0)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f>INDEX(products!$A$1:$G$49,MATCH(orders!$D775,products!$A$1:$A$49,0),MATCH(orders!L$1,products!$A$1:$G$1,0))</f>
        <v>4.3650000000000002</v>
      </c>
      <c r="M77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cm="1">
        <f t="array" ref="F776">_xlfn.XLOOKUP(C776,customers!$A$1:$A1775,customers!$B$1:$B1775,,0)</f>
        <v>Dorette Hinemoor</v>
      </c>
      <c r="G776" s="2" t="str">
        <f>IF(_xlfn.XLOOKUP(C776, customers!$A:$A, customers!$C:$C,,0)=0, "", _xlfn.XLOOKUP(C776, customers!$A:$A, customers!$C:$C,,0))</f>
        <v/>
      </c>
      <c r="H776" s="2" t="str">
        <f>_xlfn.XLOOKUP(C776, customers!$A:$A, customers!$G:$G,,0)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f>INDEX(products!$A$1:$G$49,MATCH(orders!$D776,products!$A$1:$A$49,0),MATCH(orders!L$1,products!$A$1:$G$1,0))</f>
        <v>9.9499999999999993</v>
      </c>
      <c r="M776">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cm="1">
        <f t="array" ref="F777">_xlfn.XLOOKUP(C777,customers!$A$1:$A1776,customers!$B$1:$B1776,,0)</f>
        <v>Rhetta Elnaugh</v>
      </c>
      <c r="G777" s="2" t="str">
        <f>IF(_xlfn.XLOOKUP(C777, customers!$A:$A, customers!$C:$C,,0)=0, "", _xlfn.XLOOKUP(C777, customers!$A:$A, customers!$C:$C,,0))</f>
        <v>relnaughlj@comsenz.com</v>
      </c>
      <c r="H777" s="2" t="str">
        <f>_xlfn.XLOOKUP(C777, customers!$A:$A, customers!$G:$G,,0)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f>INDEX(products!$A$1:$G$49,MATCH(orders!$D777,products!$A$1:$A$49,0),MATCH(orders!L$1,products!$A$1:$G$1,0))</f>
        <v>8.91</v>
      </c>
      <c r="M777">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cm="1">
        <f t="array" ref="F778">_xlfn.XLOOKUP(C778,customers!$A$1:$A1777,customers!$B$1:$B1777,,0)</f>
        <v>Jule Deehan</v>
      </c>
      <c r="G778" s="2" t="str">
        <f>IF(_xlfn.XLOOKUP(C778, customers!$A:$A, customers!$C:$C,,0)=0, "", _xlfn.XLOOKUP(C778, customers!$A:$A, customers!$C:$C,,0))</f>
        <v>jdeehanlk@about.me</v>
      </c>
      <c r="H778" s="2" t="str">
        <f>_xlfn.XLOOKUP(C778, customers!$A:$A, customers!$G:$G,,0)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f>INDEX(products!$A$1:$G$49,MATCH(orders!$D778,products!$A$1:$A$49,0),MATCH(orders!L$1,products!$A$1:$G$1,0))</f>
        <v>6.75</v>
      </c>
      <c r="M778">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cm="1">
        <f t="array" ref="F779">_xlfn.XLOOKUP(C779,customers!$A$1:$A1778,customers!$B$1:$B1778,,0)</f>
        <v>Janella Eden</v>
      </c>
      <c r="G779" s="2" t="str">
        <f>IF(_xlfn.XLOOKUP(C779, customers!$A:$A, customers!$C:$C,,0)=0, "", _xlfn.XLOOKUP(C779, customers!$A:$A, customers!$C:$C,,0))</f>
        <v>jedenll@e-recht24.de</v>
      </c>
      <c r="H779" s="2" t="str">
        <f>_xlfn.XLOOKUP(C779, customers!$A:$A, customers!$G:$G,,0)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f>INDEX(products!$A$1:$G$49,MATCH(orders!$D779,products!$A$1:$A$49,0),MATCH(orders!L$1,products!$A$1:$G$1,0))</f>
        <v>29.784999999999997</v>
      </c>
      <c r="M779">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cm="1">
        <f t="array" ref="F780">_xlfn.XLOOKUP(C780,customers!$A$1:$A1779,customers!$B$1:$B1779,,0)</f>
        <v>Cam Jewster</v>
      </c>
      <c r="G780" s="2" t="str">
        <f>IF(_xlfn.XLOOKUP(C780, customers!$A:$A, customers!$C:$C,,0)=0, "", _xlfn.XLOOKUP(C780, customers!$A:$A, customers!$C:$C,,0))</f>
        <v>cjewsterlu@moonfruit.com</v>
      </c>
      <c r="H780" s="2" t="str">
        <f>_xlfn.XLOOKUP(C780, customers!$A:$A, customers!$G:$G,,0)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f>INDEX(products!$A$1:$G$49,MATCH(orders!$D780,products!$A$1:$A$49,0),MATCH(orders!L$1,products!$A$1:$G$1,0))</f>
        <v>9.51</v>
      </c>
      <c r="M780">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cm="1">
        <f t="array" ref="F781">_xlfn.XLOOKUP(C781,customers!$A$1:$A1780,customers!$B$1:$B1780,,0)</f>
        <v>Ugo Southerden</v>
      </c>
      <c r="G781" s="2" t="str">
        <f>IF(_xlfn.XLOOKUP(C781, customers!$A:$A, customers!$C:$C,,0)=0, "", _xlfn.XLOOKUP(C781, customers!$A:$A, customers!$C:$C,,0))</f>
        <v>usoutherdenln@hao123.com</v>
      </c>
      <c r="H781" s="2" t="str">
        <f>_xlfn.XLOOKUP(C781, customers!$A:$A, customers!$G:$G,,0)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f>INDEX(products!$A$1:$G$49,MATCH(orders!$D781,products!$A$1:$A$49,0),MATCH(orders!L$1,products!$A$1:$G$1,0))</f>
        <v>12.95</v>
      </c>
      <c r="M781">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cm="1">
        <f t="array" ref="F782">_xlfn.XLOOKUP(C782,customers!$A$1:$A1781,customers!$B$1:$B1781,,0)</f>
        <v>Verne Dunkerley</v>
      </c>
      <c r="G782" s="2" t="str">
        <f>IF(_xlfn.XLOOKUP(C782, customers!$A:$A, customers!$C:$C,,0)=0, "", _xlfn.XLOOKUP(C782, customers!$A:$A, customers!$C:$C,,0))</f>
        <v/>
      </c>
      <c r="H782" s="2" t="str">
        <f>_xlfn.XLOOKUP(C782, customers!$A:$A, customers!$G:$G,,0)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f>INDEX(products!$A$1:$G$49,MATCH(orders!$D782,products!$A$1:$A$49,0),MATCH(orders!L$1,products!$A$1:$G$1,0))</f>
        <v>13.75</v>
      </c>
      <c r="M782">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cm="1">
        <f t="array" ref="F783">_xlfn.XLOOKUP(C783,customers!$A$1:$A1782,customers!$B$1:$B1782,,0)</f>
        <v>Lacee Burtenshaw</v>
      </c>
      <c r="G783" s="2" t="str">
        <f>IF(_xlfn.XLOOKUP(C783, customers!$A:$A, customers!$C:$C,,0)=0, "", _xlfn.XLOOKUP(C783, customers!$A:$A, customers!$C:$C,,0))</f>
        <v>lburtenshawlp@shinystat.com</v>
      </c>
      <c r="H783" s="2" t="str">
        <f>_xlfn.XLOOKUP(C783, customers!$A:$A, customers!$G:$G,,0)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f>INDEX(products!$A$1:$G$49,MATCH(orders!$D783,products!$A$1:$A$49,0),MATCH(orders!L$1,products!$A$1:$G$1,0))</f>
        <v>36.454999999999998</v>
      </c>
      <c r="M783">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cm="1">
        <f t="array" ref="F784">_xlfn.XLOOKUP(C784,customers!$A$1:$A1783,customers!$B$1:$B1783,,0)</f>
        <v>Adorne Gregoratti</v>
      </c>
      <c r="G784" s="2" t="str">
        <f>IF(_xlfn.XLOOKUP(C784, customers!$A:$A, customers!$C:$C,,0)=0, "", _xlfn.XLOOKUP(C784, customers!$A:$A, customers!$C:$C,,0))</f>
        <v>agregorattilq@vistaprint.com</v>
      </c>
      <c r="H784" s="2" t="str">
        <f>_xlfn.XLOOKUP(C784, customers!$A:$A, customers!$G:$G,,0)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f>INDEX(products!$A$1:$G$49,MATCH(orders!$D784,products!$A$1:$A$49,0),MATCH(orders!L$1,products!$A$1:$G$1,0))</f>
        <v>4.4550000000000001</v>
      </c>
      <c r="M784">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cm="1">
        <f t="array" ref="F785">_xlfn.XLOOKUP(C785,customers!$A$1:$A1784,customers!$B$1:$B1784,,0)</f>
        <v>Chris Croster</v>
      </c>
      <c r="G785" s="2" t="str">
        <f>IF(_xlfn.XLOOKUP(C785, customers!$A:$A, customers!$C:$C,,0)=0, "", _xlfn.XLOOKUP(C785, customers!$A:$A, customers!$C:$C,,0))</f>
        <v>ccrosterlr@gov.uk</v>
      </c>
      <c r="H785" s="2" t="str">
        <f>_xlfn.XLOOKUP(C785, customers!$A:$A, customers!$G:$G,,0)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f>INDEX(products!$A$1:$G$49,MATCH(orders!$D785,products!$A$1:$A$49,0),MATCH(orders!L$1,products!$A$1:$G$1,0))</f>
        <v>8.73</v>
      </c>
      <c r="M78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cm="1">
        <f t="array" ref="F786">_xlfn.XLOOKUP(C786,customers!$A$1:$A1785,customers!$B$1:$B1785,,0)</f>
        <v>Graeme Whitehead</v>
      </c>
      <c r="G786" s="2" t="str">
        <f>IF(_xlfn.XLOOKUP(C786, customers!$A:$A, customers!$C:$C,,0)=0, "", _xlfn.XLOOKUP(C786, customers!$A:$A, customers!$C:$C,,0))</f>
        <v>gwhiteheadls@hp.com</v>
      </c>
      <c r="H786" s="2" t="str">
        <f>_xlfn.XLOOKUP(C786, customers!$A:$A, customers!$G:$G,,0)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f>INDEX(products!$A$1:$G$49,MATCH(orders!$D786,products!$A$1:$A$49,0),MATCH(orders!L$1,products!$A$1:$G$1,0))</f>
        <v>15.85</v>
      </c>
      <c r="M786">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cm="1">
        <f t="array" ref="F787">_xlfn.XLOOKUP(C787,customers!$A$1:$A1786,customers!$B$1:$B1786,,0)</f>
        <v>Haslett Jodrelle</v>
      </c>
      <c r="G787" s="2" t="str">
        <f>IF(_xlfn.XLOOKUP(C787, customers!$A:$A, customers!$C:$C,,0)=0, "", _xlfn.XLOOKUP(C787, customers!$A:$A, customers!$C:$C,,0))</f>
        <v>hjodrellelt@samsung.com</v>
      </c>
      <c r="H787" s="2" t="str">
        <f>_xlfn.XLOOKUP(C787, customers!$A:$A, customers!$G:$G,,0)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f>INDEX(products!$A$1:$G$49,MATCH(orders!$D787,products!$A$1:$A$49,0),MATCH(orders!L$1,products!$A$1:$G$1,0))</f>
        <v>22.884999999999998</v>
      </c>
      <c r="M787">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cm="1">
        <f t="array" ref="F788">_xlfn.XLOOKUP(C788,customers!$A$1:$A1787,customers!$B$1:$B1787,,0)</f>
        <v>Cam Jewster</v>
      </c>
      <c r="G788" s="2" t="str">
        <f>IF(_xlfn.XLOOKUP(C788, customers!$A:$A, customers!$C:$C,,0)=0, "", _xlfn.XLOOKUP(C788, customers!$A:$A, customers!$C:$C,,0))</f>
        <v>cjewsterlu@moonfruit.com</v>
      </c>
      <c r="H788" s="2" t="str">
        <f>_xlfn.XLOOKUP(C788, customers!$A:$A, customers!$G:$G,,0)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f>INDEX(products!$A$1:$G$49,MATCH(orders!$D788,products!$A$1:$A$49,0),MATCH(orders!L$1,products!$A$1:$G$1,0))</f>
        <v>27.945</v>
      </c>
      <c r="M788">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cm="1">
        <f t="array" ref="F789">_xlfn.XLOOKUP(C789,customers!$A$1:$A1788,customers!$B$1:$B1788,,0)</f>
        <v>Beryl Osborn</v>
      </c>
      <c r="G789" s="2" t="str">
        <f>IF(_xlfn.XLOOKUP(C789, customers!$A:$A, customers!$C:$C,,0)=0, "", _xlfn.XLOOKUP(C789, customers!$A:$A, customers!$C:$C,,0))</f>
        <v/>
      </c>
      <c r="H789" s="2" t="str">
        <f>_xlfn.XLOOKUP(C789, customers!$A:$A, customers!$G:$G,,0)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f>INDEX(products!$A$1:$G$49,MATCH(orders!$D789,products!$A$1:$A$49,0),MATCH(orders!L$1,products!$A$1:$G$1,0))</f>
        <v>13.75</v>
      </c>
      <c r="M789">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cm="1">
        <f t="array" ref="F790">_xlfn.XLOOKUP(C790,customers!$A$1:$A1789,customers!$B$1:$B1789,,0)</f>
        <v>Kaela Nottram</v>
      </c>
      <c r="G790" s="2" t="str">
        <f>IF(_xlfn.XLOOKUP(C790, customers!$A:$A, customers!$C:$C,,0)=0, "", _xlfn.XLOOKUP(C790, customers!$A:$A, customers!$C:$C,,0))</f>
        <v>knottramlw@odnoklassniki.ru</v>
      </c>
      <c r="H790" s="2" t="str">
        <f>_xlfn.XLOOKUP(C790, customers!$A:$A, customers!$G:$G,,0)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f>INDEX(products!$A$1:$G$49,MATCH(orders!$D790,products!$A$1:$A$49,0),MATCH(orders!L$1,products!$A$1:$G$1,0))</f>
        <v>22.884999999999998</v>
      </c>
      <c r="M790">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cm="1">
        <f t="array" ref="F791">_xlfn.XLOOKUP(C791,customers!$A$1:$A1790,customers!$B$1:$B1790,,0)</f>
        <v>Nobe Buney</v>
      </c>
      <c r="G791" s="2" t="str">
        <f>IF(_xlfn.XLOOKUP(C791, customers!$A:$A, customers!$C:$C,,0)=0, "", _xlfn.XLOOKUP(C791, customers!$A:$A, customers!$C:$C,,0))</f>
        <v>nbuneylx@jugem.jp</v>
      </c>
      <c r="H791" s="2" t="str">
        <f>_xlfn.XLOOKUP(C791, customers!$A:$A, customers!$G:$G,,0)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f>INDEX(products!$A$1:$G$49,MATCH(orders!$D791,products!$A$1:$A$49,0),MATCH(orders!L$1,products!$A$1:$G$1,0))</f>
        <v>12.95</v>
      </c>
      <c r="M791">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cm="1">
        <f t="array" ref="F792">_xlfn.XLOOKUP(C792,customers!$A$1:$A1791,customers!$B$1:$B1791,,0)</f>
        <v>Silvan McShea</v>
      </c>
      <c r="G792" s="2" t="str">
        <f>IF(_xlfn.XLOOKUP(C792, customers!$A:$A, customers!$C:$C,,0)=0, "", _xlfn.XLOOKUP(C792, customers!$A:$A, customers!$C:$C,,0))</f>
        <v>smcshealy@photobucket.com</v>
      </c>
      <c r="H792" s="2" t="str">
        <f>_xlfn.XLOOKUP(C792, customers!$A:$A, customers!$G:$G,,0)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f>INDEX(products!$A$1:$G$49,MATCH(orders!$D792,products!$A$1:$A$49,0),MATCH(orders!L$1,products!$A$1:$G$1,0))</f>
        <v>7.77</v>
      </c>
      <c r="M792">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cm="1">
        <f t="array" ref="F793">_xlfn.XLOOKUP(C793,customers!$A$1:$A1792,customers!$B$1:$B1792,,0)</f>
        <v>Karylin Huddart</v>
      </c>
      <c r="G793" s="2" t="str">
        <f>IF(_xlfn.XLOOKUP(C793, customers!$A:$A, customers!$C:$C,,0)=0, "", _xlfn.XLOOKUP(C793, customers!$A:$A, customers!$C:$C,,0))</f>
        <v>khuddartlz@about.com</v>
      </c>
      <c r="H793" s="2" t="str">
        <f>_xlfn.XLOOKUP(C793, customers!$A:$A, customers!$G:$G,,0)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f>INDEX(products!$A$1:$G$49,MATCH(orders!$D793,products!$A$1:$A$49,0),MATCH(orders!L$1,products!$A$1:$G$1,0))</f>
        <v>4.7549999999999999</v>
      </c>
      <c r="M793">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cm="1">
        <f t="array" ref="F794">_xlfn.XLOOKUP(C794,customers!$A$1:$A1793,customers!$B$1:$B1793,,0)</f>
        <v>Jereme Gippes</v>
      </c>
      <c r="G794" s="2" t="str">
        <f>IF(_xlfn.XLOOKUP(C794, customers!$A:$A, customers!$C:$C,,0)=0, "", _xlfn.XLOOKUP(C794, customers!$A:$A, customers!$C:$C,,0))</f>
        <v>jgippesm0@cloudflare.com</v>
      </c>
      <c r="H794" s="2" t="str">
        <f>_xlfn.XLOOKUP(C794, customers!$A:$A, customers!$G:$G,,0)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f>INDEX(products!$A$1:$G$49,MATCH(orders!$D794,products!$A$1:$A$49,0),MATCH(orders!L$1,products!$A$1:$G$1,0))</f>
        <v>8.73</v>
      </c>
      <c r="M794">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cm="1">
        <f t="array" ref="F795">_xlfn.XLOOKUP(C795,customers!$A$1:$A1794,customers!$B$1:$B1794,,0)</f>
        <v>Lukas Whittlesee</v>
      </c>
      <c r="G795" s="2" t="str">
        <f>IF(_xlfn.XLOOKUP(C795, customers!$A:$A, customers!$C:$C,,0)=0, "", _xlfn.XLOOKUP(C795, customers!$A:$A, customers!$C:$C,,0))</f>
        <v>lwhittleseem1@e-recht24.de</v>
      </c>
      <c r="H795" s="2" t="str">
        <f>_xlfn.XLOOKUP(C795, customers!$A:$A, customers!$G:$G,,0)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f>INDEX(products!$A$1:$G$49,MATCH(orders!$D795,products!$A$1:$A$49,0),MATCH(orders!L$1,products!$A$1:$G$1,0))</f>
        <v>3.5849999999999995</v>
      </c>
      <c r="M79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cm="1">
        <f t="array" ref="F796">_xlfn.XLOOKUP(C796,customers!$A$1:$A1795,customers!$B$1:$B1795,,0)</f>
        <v>Gregorius Trengrove</v>
      </c>
      <c r="G796" s="2" t="str">
        <f>IF(_xlfn.XLOOKUP(C796, customers!$A:$A, customers!$C:$C,,0)=0, "", _xlfn.XLOOKUP(C796, customers!$A:$A, customers!$C:$C,,0))</f>
        <v>gtrengrovem2@elpais.com</v>
      </c>
      <c r="H796" s="2" t="str">
        <f>_xlfn.XLOOKUP(C796, customers!$A:$A, customers!$G:$G,,0)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f>INDEX(products!$A$1:$G$49,MATCH(orders!$D796,products!$A$1:$A$49,0),MATCH(orders!L$1,products!$A$1:$G$1,0))</f>
        <v>29.784999999999997</v>
      </c>
      <c r="M796">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cm="1">
        <f t="array" ref="F797">_xlfn.XLOOKUP(C797,customers!$A$1:$A1796,customers!$B$1:$B1796,,0)</f>
        <v>Wright Caldero</v>
      </c>
      <c r="G797" s="2" t="str">
        <f>IF(_xlfn.XLOOKUP(C797, customers!$A:$A, customers!$C:$C,,0)=0, "", _xlfn.XLOOKUP(C797, customers!$A:$A, customers!$C:$C,,0))</f>
        <v>wcalderom3@stumbleupon.com</v>
      </c>
      <c r="H797" s="2" t="str">
        <f>_xlfn.XLOOKUP(C797, customers!$A:$A, customers!$G:$G,,0)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f>INDEX(products!$A$1:$G$49,MATCH(orders!$D797,products!$A$1:$A$49,0),MATCH(orders!L$1,products!$A$1:$G$1,0))</f>
        <v>7.169999999999999</v>
      </c>
      <c r="M797">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cm="1">
        <f t="array" ref="F798">_xlfn.XLOOKUP(C798,customers!$A$1:$A1797,customers!$B$1:$B1797,,0)</f>
        <v>Merell Zanazzi</v>
      </c>
      <c r="G798" s="2" t="str">
        <f>IF(_xlfn.XLOOKUP(C798, customers!$A:$A, customers!$C:$C,,0)=0, "", _xlfn.XLOOKUP(C798, customers!$A:$A, customers!$C:$C,,0))</f>
        <v/>
      </c>
      <c r="H798" s="2" t="str">
        <f>_xlfn.XLOOKUP(C798, customers!$A:$A, customers!$G:$G,,0)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f>INDEX(products!$A$1:$G$49,MATCH(orders!$D798,products!$A$1:$A$49,0),MATCH(orders!L$1,products!$A$1:$G$1,0))</f>
        <v>9.51</v>
      </c>
      <c r="M798">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cm="1">
        <f t="array" ref="F799">_xlfn.XLOOKUP(C799,customers!$A$1:$A1798,customers!$B$1:$B1798,,0)</f>
        <v>Jed Kennicott</v>
      </c>
      <c r="G799" s="2" t="str">
        <f>IF(_xlfn.XLOOKUP(C799, customers!$A:$A, customers!$C:$C,,0)=0, "", _xlfn.XLOOKUP(C799, customers!$A:$A, customers!$C:$C,,0))</f>
        <v>jkennicottm5@yahoo.co.jp</v>
      </c>
      <c r="H799" s="2" t="str">
        <f>_xlfn.XLOOKUP(C799, customers!$A:$A, customers!$G:$G,,0)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f>INDEX(products!$A$1:$G$49,MATCH(orders!$D799,products!$A$1:$A$49,0),MATCH(orders!L$1,products!$A$1:$G$1,0))</f>
        <v>7.77</v>
      </c>
      <c r="M799">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cm="1">
        <f t="array" ref="F800">_xlfn.XLOOKUP(C800,customers!$A$1:$A1799,customers!$B$1:$B1799,,0)</f>
        <v>Guenevere Ruggen</v>
      </c>
      <c r="G800" s="2" t="str">
        <f>IF(_xlfn.XLOOKUP(C800, customers!$A:$A, customers!$C:$C,,0)=0, "", _xlfn.XLOOKUP(C800, customers!$A:$A, customers!$C:$C,,0))</f>
        <v>gruggenm6@nymag.com</v>
      </c>
      <c r="H800" s="2" t="str">
        <f>_xlfn.XLOOKUP(C800, customers!$A:$A, customers!$G:$G,,0)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f>INDEX(products!$A$1:$G$49,MATCH(orders!$D800,products!$A$1:$A$49,0),MATCH(orders!L$1,products!$A$1:$G$1,0))</f>
        <v>2.6849999999999996</v>
      </c>
      <c r="M800">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cm="1">
        <f t="array" ref="F801">_xlfn.XLOOKUP(C801,customers!$A$1:$A1800,customers!$B$1:$B1800,,0)</f>
        <v>Gonzales Cicculi</v>
      </c>
      <c r="G801" s="2" t="str">
        <f>IF(_xlfn.XLOOKUP(C801, customers!$A:$A, customers!$C:$C,,0)=0, "", _xlfn.XLOOKUP(C801, customers!$A:$A, customers!$C:$C,,0))</f>
        <v/>
      </c>
      <c r="H801" s="2" t="str">
        <f>_xlfn.XLOOKUP(C801, customers!$A:$A, customers!$G:$G,,0)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f>INDEX(products!$A$1:$G$49,MATCH(orders!$D801,products!$A$1:$A$49,0),MATCH(orders!L$1,products!$A$1:$G$1,0))</f>
        <v>12.15</v>
      </c>
      <c r="M801">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cm="1">
        <f t="array" ref="F802">_xlfn.XLOOKUP(C802,customers!$A$1:$A1801,customers!$B$1:$B1801,,0)</f>
        <v>Man Fright</v>
      </c>
      <c r="G802" s="2" t="str">
        <f>IF(_xlfn.XLOOKUP(C802, customers!$A:$A, customers!$C:$C,,0)=0, "", _xlfn.XLOOKUP(C802, customers!$A:$A, customers!$C:$C,,0))</f>
        <v>mfrightm8@harvard.edu</v>
      </c>
      <c r="H802" s="2" t="str">
        <f>_xlfn.XLOOKUP(C802, customers!$A:$A, customers!$G:$G,,0)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f>INDEX(products!$A$1:$G$49,MATCH(orders!$D802,products!$A$1:$A$49,0),MATCH(orders!L$1,products!$A$1:$G$1,0))</f>
        <v>2.6849999999999996</v>
      </c>
      <c r="M802">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cm="1">
        <f t="array" ref="F803">_xlfn.XLOOKUP(C803,customers!$A$1:$A1802,customers!$B$1:$B1802,,0)</f>
        <v>Boyce Tarte</v>
      </c>
      <c r="G803" s="2" t="str">
        <f>IF(_xlfn.XLOOKUP(C803, customers!$A:$A, customers!$C:$C,,0)=0, "", _xlfn.XLOOKUP(C803, customers!$A:$A, customers!$C:$C,,0))</f>
        <v>btartem9@aol.com</v>
      </c>
      <c r="H803" s="2" t="str">
        <f>_xlfn.XLOOKUP(C803, customers!$A:$A, customers!$G:$G,,0)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f>INDEX(products!$A$1:$G$49,MATCH(orders!$D803,products!$A$1:$A$49,0),MATCH(orders!L$1,products!$A$1:$G$1,0))</f>
        <v>20.584999999999997</v>
      </c>
      <c r="M803">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cm="1">
        <f t="array" ref="F804">_xlfn.XLOOKUP(C804,customers!$A$1:$A1803,customers!$B$1:$B1803,,0)</f>
        <v>Caddric Krzysztofiak</v>
      </c>
      <c r="G804" s="2" t="str">
        <f>IF(_xlfn.XLOOKUP(C804, customers!$A:$A, customers!$C:$C,,0)=0, "", _xlfn.XLOOKUP(C804, customers!$A:$A, customers!$C:$C,,0))</f>
        <v>ckrzysztofiakma@skyrock.com</v>
      </c>
      <c r="H804" s="2" t="str">
        <f>_xlfn.XLOOKUP(C804, customers!$A:$A, customers!$G:$G,,0)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f>INDEX(products!$A$1:$G$49,MATCH(orders!$D804,products!$A$1:$A$49,0),MATCH(orders!L$1,products!$A$1:$G$1,0))</f>
        <v>2.6849999999999996</v>
      </c>
      <c r="M804">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cm="1">
        <f t="array" ref="F805">_xlfn.XLOOKUP(C805,customers!$A$1:$A1804,customers!$B$1:$B1804,,0)</f>
        <v>Darn Penquet</v>
      </c>
      <c r="G805" s="2" t="str">
        <f>IF(_xlfn.XLOOKUP(C805, customers!$A:$A, customers!$C:$C,,0)=0, "", _xlfn.XLOOKUP(C805, customers!$A:$A, customers!$C:$C,,0))</f>
        <v>dpenquetmb@diigo.com</v>
      </c>
      <c r="H805" s="2" t="str">
        <f>_xlfn.XLOOKUP(C805, customers!$A:$A, customers!$G:$G,,0)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f>INDEX(products!$A$1:$G$49,MATCH(orders!$D805,products!$A$1:$A$49,0),MATCH(orders!L$1,products!$A$1:$G$1,0))</f>
        <v>31.624999999999996</v>
      </c>
      <c r="M80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cm="1">
        <f t="array" ref="F806">_xlfn.XLOOKUP(C806,customers!$A$1:$A1805,customers!$B$1:$B1805,,0)</f>
        <v>Jammie Cloke</v>
      </c>
      <c r="G806" s="2" t="str">
        <f>IF(_xlfn.XLOOKUP(C806, customers!$A:$A, customers!$C:$C,,0)=0, "", _xlfn.XLOOKUP(C806, customers!$A:$A, customers!$C:$C,,0))</f>
        <v/>
      </c>
      <c r="H806" s="2" t="str">
        <f>_xlfn.XLOOKUP(C806, customers!$A:$A, customers!$G:$G,,0)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f>INDEX(products!$A$1:$G$49,MATCH(orders!$D806,products!$A$1:$A$49,0),MATCH(orders!L$1,products!$A$1:$G$1,0))</f>
        <v>11.95</v>
      </c>
      <c r="M806">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cm="1">
        <f t="array" ref="F807">_xlfn.XLOOKUP(C807,customers!$A$1:$A1806,customers!$B$1:$B1806,,0)</f>
        <v>Chester Clowton</v>
      </c>
      <c r="G807" s="2" t="str">
        <f>IF(_xlfn.XLOOKUP(C807, customers!$A:$A, customers!$C:$C,,0)=0, "", _xlfn.XLOOKUP(C807, customers!$A:$A, customers!$C:$C,,0))</f>
        <v/>
      </c>
      <c r="H807" s="2" t="str">
        <f>_xlfn.XLOOKUP(C807, customers!$A:$A, customers!$G:$G,,0)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f>INDEX(products!$A$1:$G$49,MATCH(orders!$D807,products!$A$1:$A$49,0),MATCH(orders!L$1,products!$A$1:$G$1,0))</f>
        <v>5.97</v>
      </c>
      <c r="M807">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cm="1">
        <f t="array" ref="F808">_xlfn.XLOOKUP(C808,customers!$A$1:$A1807,customers!$B$1:$B1807,,0)</f>
        <v>Kathleen Diable</v>
      </c>
      <c r="G808" s="2" t="str">
        <f>IF(_xlfn.XLOOKUP(C808, customers!$A:$A, customers!$C:$C,,0)=0, "", _xlfn.XLOOKUP(C808, customers!$A:$A, customers!$C:$C,,0))</f>
        <v/>
      </c>
      <c r="H808" s="2" t="str">
        <f>_xlfn.XLOOKUP(C808, customers!$A:$A, customers!$G:$G,,0)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f>INDEX(products!$A$1:$G$49,MATCH(orders!$D808,products!$A$1:$A$49,0),MATCH(orders!L$1,products!$A$1:$G$1,0))</f>
        <v>3.8849999999999998</v>
      </c>
      <c r="M808">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cm="1">
        <f t="array" ref="F809">_xlfn.XLOOKUP(C809,customers!$A$1:$A1808,customers!$B$1:$B1808,,0)</f>
        <v>Koren Ferretti</v>
      </c>
      <c r="G809" s="2" t="str">
        <f>IF(_xlfn.XLOOKUP(C809, customers!$A:$A, customers!$C:$C,,0)=0, "", _xlfn.XLOOKUP(C809, customers!$A:$A, customers!$C:$C,,0))</f>
        <v>kferrettimf@huffingtonpost.com</v>
      </c>
      <c r="H809" s="2" t="str">
        <f>_xlfn.XLOOKUP(C809, customers!$A:$A, customers!$G:$G,,0)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f>INDEX(products!$A$1:$G$49,MATCH(orders!$D809,products!$A$1:$A$49,0),MATCH(orders!L$1,products!$A$1:$G$1,0))</f>
        <v>7.77</v>
      </c>
      <c r="M809">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cm="1">
        <f t="array" ref="F810">_xlfn.XLOOKUP(C810,customers!$A$1:$A1809,customers!$B$1:$B1809,,0)</f>
        <v>Allis Wilmore</v>
      </c>
      <c r="G810" s="2" t="str">
        <f>IF(_xlfn.XLOOKUP(C810, customers!$A:$A, customers!$C:$C,,0)=0, "", _xlfn.XLOOKUP(C810, customers!$A:$A, customers!$C:$C,,0))</f>
        <v/>
      </c>
      <c r="H810" s="2" t="str">
        <f>_xlfn.XLOOKUP(C810, customers!$A:$A, customers!$G:$G,,0)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f>INDEX(products!$A$1:$G$49,MATCH(orders!$D810,products!$A$1:$A$49,0),MATCH(orders!L$1,products!$A$1:$G$1,0))</f>
        <v>27.484999999999996</v>
      </c>
      <c r="M810">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cm="1">
        <f t="array" ref="F811">_xlfn.XLOOKUP(C811,customers!$A$1:$A1810,customers!$B$1:$B1810,,0)</f>
        <v>Chaddie Bennie</v>
      </c>
      <c r="G811" s="2" t="str">
        <f>IF(_xlfn.XLOOKUP(C811, customers!$A:$A, customers!$C:$C,,0)=0, "", _xlfn.XLOOKUP(C811, customers!$A:$A, customers!$C:$C,,0))</f>
        <v/>
      </c>
      <c r="H811" s="2" t="str">
        <f>_xlfn.XLOOKUP(C811, customers!$A:$A, customers!$G:$G,,0)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f>INDEX(products!$A$1:$G$49,MATCH(orders!$D811,products!$A$1:$A$49,0),MATCH(orders!L$1,products!$A$1:$G$1,0))</f>
        <v>2.6849999999999996</v>
      </c>
      <c r="M811">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cm="1">
        <f t="array" ref="F812">_xlfn.XLOOKUP(C812,customers!$A$1:$A1811,customers!$B$1:$B1811,,0)</f>
        <v>Alberta Balsdone</v>
      </c>
      <c r="G812" s="2" t="str">
        <f>IF(_xlfn.XLOOKUP(C812, customers!$A:$A, customers!$C:$C,,0)=0, "", _xlfn.XLOOKUP(C812, customers!$A:$A, customers!$C:$C,,0))</f>
        <v>abalsdonemi@toplist.cz</v>
      </c>
      <c r="H812" s="2" t="str">
        <f>_xlfn.XLOOKUP(C812, customers!$A:$A, customers!$G:$G,,0)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f>INDEX(products!$A$1:$G$49,MATCH(orders!$D812,products!$A$1:$A$49,0),MATCH(orders!L$1,products!$A$1:$G$1,0))</f>
        <v>9.51</v>
      </c>
      <c r="M812">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cm="1">
        <f t="array" ref="F813">_xlfn.XLOOKUP(C813,customers!$A$1:$A1812,customers!$B$1:$B1812,,0)</f>
        <v>Brice Romera</v>
      </c>
      <c r="G813" s="2" t="str">
        <f>IF(_xlfn.XLOOKUP(C813, customers!$A:$A, customers!$C:$C,,0)=0, "", _xlfn.XLOOKUP(C813, customers!$A:$A, customers!$C:$C,,0))</f>
        <v>bromeramj@list-manage.com</v>
      </c>
      <c r="H813" s="2" t="str">
        <f>_xlfn.XLOOKUP(C813, customers!$A:$A, customers!$G:$G,,0)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f>INDEX(products!$A$1:$G$49,MATCH(orders!$D813,products!$A$1:$A$49,0),MATCH(orders!L$1,products!$A$1:$G$1,0))</f>
        <v>11.25</v>
      </c>
      <c r="M813">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cm="1">
        <f t="array" ref="F814">_xlfn.XLOOKUP(C814,customers!$A$1:$A1813,customers!$B$1:$B1813,,0)</f>
        <v>Brice Romera</v>
      </c>
      <c r="G814" s="2" t="str">
        <f>IF(_xlfn.XLOOKUP(C814, customers!$A:$A, customers!$C:$C,,0)=0, "", _xlfn.XLOOKUP(C814, customers!$A:$A, customers!$C:$C,,0))</f>
        <v>bromeramj@list-manage.com</v>
      </c>
      <c r="H814" s="2" t="str">
        <f>_xlfn.XLOOKUP(C814, customers!$A:$A, customers!$G:$G,,0)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f>INDEX(products!$A$1:$G$49,MATCH(orders!$D814,products!$A$1:$A$49,0),MATCH(orders!L$1,products!$A$1:$G$1,0))</f>
        <v>29.784999999999997</v>
      </c>
      <c r="M814">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cm="1">
        <f t="array" ref="F815">_xlfn.XLOOKUP(C815,customers!$A$1:$A1814,customers!$B$1:$B1814,,0)</f>
        <v>Conchita Bryde</v>
      </c>
      <c r="G815" s="2" t="str">
        <f>IF(_xlfn.XLOOKUP(C815, customers!$A:$A, customers!$C:$C,,0)=0, "", _xlfn.XLOOKUP(C815, customers!$A:$A, customers!$C:$C,,0))</f>
        <v>cbrydeml@tuttocitta.it</v>
      </c>
      <c r="H815" s="2" t="str">
        <f>_xlfn.XLOOKUP(C815, customers!$A:$A, customers!$G:$G,,0)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f>INDEX(products!$A$1:$G$49,MATCH(orders!$D815,products!$A$1:$A$49,0),MATCH(orders!L$1,products!$A$1:$G$1,0))</f>
        <v>31.624999999999996</v>
      </c>
      <c r="M81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cm="1">
        <f t="array" ref="F816">_xlfn.XLOOKUP(C816,customers!$A$1:$A1815,customers!$B$1:$B1815,,0)</f>
        <v>Silvanus Enefer</v>
      </c>
      <c r="G816" s="2" t="str">
        <f>IF(_xlfn.XLOOKUP(C816, customers!$A:$A, customers!$C:$C,,0)=0, "", _xlfn.XLOOKUP(C816, customers!$A:$A, customers!$C:$C,,0))</f>
        <v>senefermm@blog.com</v>
      </c>
      <c r="H816" s="2" t="str">
        <f>_xlfn.XLOOKUP(C816, customers!$A:$A, customers!$G:$G,,0)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f>INDEX(products!$A$1:$G$49,MATCH(orders!$D816,products!$A$1:$A$49,0),MATCH(orders!L$1,products!$A$1:$G$1,0))</f>
        <v>4.4550000000000001</v>
      </c>
      <c r="M816">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cm="1">
        <f t="array" ref="F817">_xlfn.XLOOKUP(C817,customers!$A$1:$A1816,customers!$B$1:$B1816,,0)</f>
        <v>Lenci Haggerstone</v>
      </c>
      <c r="G817" s="2" t="str">
        <f>IF(_xlfn.XLOOKUP(C817, customers!$A:$A, customers!$C:$C,,0)=0, "", _xlfn.XLOOKUP(C817, customers!$A:$A, customers!$C:$C,,0))</f>
        <v>lhaggerstonemn@independent.co.uk</v>
      </c>
      <c r="H817" s="2" t="str">
        <f>_xlfn.XLOOKUP(C817, customers!$A:$A, customers!$G:$G,,0)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f>INDEX(products!$A$1:$G$49,MATCH(orders!$D817,products!$A$1:$A$49,0),MATCH(orders!L$1,products!$A$1:$G$1,0))</f>
        <v>5.97</v>
      </c>
      <c r="M817">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cm="1">
        <f t="array" ref="F818">_xlfn.XLOOKUP(C818,customers!$A$1:$A1817,customers!$B$1:$B1817,,0)</f>
        <v>Marvin Gundry</v>
      </c>
      <c r="G818" s="2" t="str">
        <f>IF(_xlfn.XLOOKUP(C818, customers!$A:$A, customers!$C:$C,,0)=0, "", _xlfn.XLOOKUP(C818, customers!$A:$A, customers!$C:$C,,0))</f>
        <v>mgundrymo@omniture.com</v>
      </c>
      <c r="H818" s="2" t="str">
        <f>_xlfn.XLOOKUP(C818, customers!$A:$A, customers!$G:$G,,0)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f>INDEX(products!$A$1:$G$49,MATCH(orders!$D818,products!$A$1:$A$49,0),MATCH(orders!L$1,products!$A$1:$G$1,0))</f>
        <v>9.51</v>
      </c>
      <c r="M818">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cm="1">
        <f t="array" ref="F819">_xlfn.XLOOKUP(C819,customers!$A$1:$A1818,customers!$B$1:$B1818,,0)</f>
        <v>Bayard Wellan</v>
      </c>
      <c r="G819" s="2" t="str">
        <f>IF(_xlfn.XLOOKUP(C819, customers!$A:$A, customers!$C:$C,,0)=0, "", _xlfn.XLOOKUP(C819, customers!$A:$A, customers!$C:$C,,0))</f>
        <v>bwellanmp@cafepress.com</v>
      </c>
      <c r="H819" s="2" t="str">
        <f>_xlfn.XLOOKUP(C819, customers!$A:$A, customers!$G:$G,,0)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f>INDEX(products!$A$1:$G$49,MATCH(orders!$D819,products!$A$1:$A$49,0),MATCH(orders!L$1,products!$A$1:$G$1,0))</f>
        <v>7.77</v>
      </c>
      <c r="M819">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cm="1">
        <f t="array" ref="F820">_xlfn.XLOOKUP(C820,customers!$A$1:$A1819,customers!$B$1:$B1819,,0)</f>
        <v>Allis Wilmore</v>
      </c>
      <c r="G820" s="2" t="str">
        <f>IF(_xlfn.XLOOKUP(C820, customers!$A:$A, customers!$C:$C,,0)=0, "", _xlfn.XLOOKUP(C820, customers!$A:$A, customers!$C:$C,,0))</f>
        <v/>
      </c>
      <c r="H820" s="2" t="str">
        <f>_xlfn.XLOOKUP(C820, customers!$A:$A, customers!$G:$G,,0)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f>INDEX(products!$A$1:$G$49,MATCH(orders!$D820,products!$A$1:$A$49,0),MATCH(orders!L$1,products!$A$1:$G$1,0))</f>
        <v>15.85</v>
      </c>
      <c r="M820">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cm="1">
        <f t="array" ref="F821">_xlfn.XLOOKUP(C821,customers!$A$1:$A1820,customers!$B$1:$B1820,,0)</f>
        <v>Caddric Atcheson</v>
      </c>
      <c r="G821" s="2" t="str">
        <f>IF(_xlfn.XLOOKUP(C821, customers!$A:$A, customers!$C:$C,,0)=0, "", _xlfn.XLOOKUP(C821, customers!$A:$A, customers!$C:$C,,0))</f>
        <v>catchesonmr@xinhuanet.com</v>
      </c>
      <c r="H821" s="2" t="str">
        <f>_xlfn.XLOOKUP(C821, customers!$A:$A, customers!$G:$G,,0)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f>INDEX(products!$A$1:$G$49,MATCH(orders!$D821,products!$A$1:$A$49,0),MATCH(orders!L$1,products!$A$1:$G$1,0))</f>
        <v>4.7549999999999999</v>
      </c>
      <c r="M821">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cm="1">
        <f t="array" ref="F822">_xlfn.XLOOKUP(C822,customers!$A$1:$A1821,customers!$B$1:$B1821,,0)</f>
        <v>Eustace Stenton</v>
      </c>
      <c r="G822" s="2" t="str">
        <f>IF(_xlfn.XLOOKUP(C822, customers!$A:$A, customers!$C:$C,,0)=0, "", _xlfn.XLOOKUP(C822, customers!$A:$A, customers!$C:$C,,0))</f>
        <v>estentonms@google.it</v>
      </c>
      <c r="H822" s="2" t="str">
        <f>_xlfn.XLOOKUP(C822, customers!$A:$A, customers!$G:$G,,0)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f>INDEX(products!$A$1:$G$49,MATCH(orders!$D822,products!$A$1:$A$49,0),MATCH(orders!L$1,products!$A$1:$G$1,0))</f>
        <v>13.75</v>
      </c>
      <c r="M822">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cm="1">
        <f t="array" ref="F823">_xlfn.XLOOKUP(C823,customers!$A$1:$A1822,customers!$B$1:$B1822,,0)</f>
        <v>Ericka Tripp</v>
      </c>
      <c r="G823" s="2" t="str">
        <f>IF(_xlfn.XLOOKUP(C823, customers!$A:$A, customers!$C:$C,,0)=0, "", _xlfn.XLOOKUP(C823, customers!$A:$A, customers!$C:$C,,0))</f>
        <v>etrippmt@wp.com</v>
      </c>
      <c r="H823" s="2" t="str">
        <f>_xlfn.XLOOKUP(C823, customers!$A:$A, customers!$G:$G,,0)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f>INDEX(products!$A$1:$G$49,MATCH(orders!$D823,products!$A$1:$A$49,0),MATCH(orders!L$1,products!$A$1:$G$1,0))</f>
        <v>5.3699999999999992</v>
      </c>
      <c r="M823">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cm="1">
        <f t="array" ref="F824">_xlfn.XLOOKUP(C824,customers!$A$1:$A1823,customers!$B$1:$B1823,,0)</f>
        <v>Lyndsey MacManus</v>
      </c>
      <c r="G824" s="2" t="str">
        <f>IF(_xlfn.XLOOKUP(C824, customers!$A:$A, customers!$C:$C,,0)=0, "", _xlfn.XLOOKUP(C824, customers!$A:$A, customers!$C:$C,,0))</f>
        <v>lmacmanusmu@imdb.com</v>
      </c>
      <c r="H824" s="2" t="str">
        <f>_xlfn.XLOOKUP(C824, customers!$A:$A, customers!$G:$G,,0)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f>INDEX(products!$A$1:$G$49,MATCH(orders!$D824,products!$A$1:$A$49,0),MATCH(orders!L$1,products!$A$1:$G$1,0))</f>
        <v>34.154999999999994</v>
      </c>
      <c r="M824">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cm="1">
        <f t="array" ref="F825">_xlfn.XLOOKUP(C825,customers!$A$1:$A1824,customers!$B$1:$B1824,,0)</f>
        <v>Tess Benediktovich</v>
      </c>
      <c r="G825" s="2" t="str">
        <f>IF(_xlfn.XLOOKUP(C825, customers!$A:$A, customers!$C:$C,,0)=0, "", _xlfn.XLOOKUP(C825, customers!$A:$A, customers!$C:$C,,0))</f>
        <v>tbenediktovichmv@ebay.com</v>
      </c>
      <c r="H825" s="2" t="str">
        <f>_xlfn.XLOOKUP(C825, customers!$A:$A, customers!$G:$G,,0)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f>INDEX(products!$A$1:$G$49,MATCH(orders!$D825,products!$A$1:$A$49,0),MATCH(orders!L$1,products!$A$1:$G$1,0))</f>
        <v>15.85</v>
      </c>
      <c r="M82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cm="1">
        <f t="array" ref="F826">_xlfn.XLOOKUP(C826,customers!$A$1:$A1825,customers!$B$1:$B1825,,0)</f>
        <v>Correy Bourner</v>
      </c>
      <c r="G826" s="2" t="str">
        <f>IF(_xlfn.XLOOKUP(C826, customers!$A:$A, customers!$C:$C,,0)=0, "", _xlfn.XLOOKUP(C826, customers!$A:$A, customers!$C:$C,,0))</f>
        <v>cbournermw@chronoengine.com</v>
      </c>
      <c r="H826" s="2" t="str">
        <f>_xlfn.XLOOKUP(C826, customers!$A:$A, customers!$G:$G,,0)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f>INDEX(products!$A$1:$G$49,MATCH(orders!$D826,products!$A$1:$A$49,0),MATCH(orders!L$1,products!$A$1:$G$1,0))</f>
        <v>3.375</v>
      </c>
      <c r="M826">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cm="1">
        <f t="array" ref="F827">_xlfn.XLOOKUP(C827,customers!$A$1:$A1826,customers!$B$1:$B1826,,0)</f>
        <v>Odelia Skerme</v>
      </c>
      <c r="G827" s="2" t="str">
        <f>IF(_xlfn.XLOOKUP(C827, customers!$A:$A, customers!$C:$C,,0)=0, "", _xlfn.XLOOKUP(C827, customers!$A:$A, customers!$C:$C,,0))</f>
        <v>oskermen3@hatena.ne.jp</v>
      </c>
      <c r="H827" s="2" t="str">
        <f>_xlfn.XLOOKUP(C827, customers!$A:$A, customers!$G:$G,,0)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f>INDEX(products!$A$1:$G$49,MATCH(orders!$D827,products!$A$1:$A$49,0),MATCH(orders!L$1,products!$A$1:$G$1,0))</f>
        <v>9.9499999999999993</v>
      </c>
      <c r="M827">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cm="1">
        <f t="array" ref="F828">_xlfn.XLOOKUP(C828,customers!$A$1:$A1827,customers!$B$1:$B1827,,0)</f>
        <v>Kandy Heddan</v>
      </c>
      <c r="G828" s="2" t="str">
        <f>IF(_xlfn.XLOOKUP(C828, customers!$A:$A, customers!$C:$C,,0)=0, "", _xlfn.XLOOKUP(C828, customers!$A:$A, customers!$C:$C,,0))</f>
        <v>kheddanmy@icq.com</v>
      </c>
      <c r="H828" s="2" t="str">
        <f>_xlfn.XLOOKUP(C828, customers!$A:$A, customers!$G:$G,,0)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f>INDEX(products!$A$1:$G$49,MATCH(orders!$D828,products!$A$1:$A$49,0),MATCH(orders!L$1,products!$A$1:$G$1,0))</f>
        <v>8.25</v>
      </c>
      <c r="M828">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cm="1">
        <f t="array" ref="F829">_xlfn.XLOOKUP(C829,customers!$A$1:$A1828,customers!$B$1:$B1828,,0)</f>
        <v>Ibby Charters</v>
      </c>
      <c r="G829" s="2" t="str">
        <f>IF(_xlfn.XLOOKUP(C829, customers!$A:$A, customers!$C:$C,,0)=0, "", _xlfn.XLOOKUP(C829, customers!$A:$A, customers!$C:$C,,0))</f>
        <v>ichartersmz@abc.net.au</v>
      </c>
      <c r="H829" s="2" t="str">
        <f>_xlfn.XLOOKUP(C829, customers!$A:$A, customers!$G:$G,,0)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f>INDEX(products!$A$1:$G$49,MATCH(orders!$D829,products!$A$1:$A$49,0),MATCH(orders!L$1,products!$A$1:$G$1,0))</f>
        <v>4.125</v>
      </c>
      <c r="M829">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cm="1">
        <f t="array" ref="F830">_xlfn.XLOOKUP(C830,customers!$A$1:$A1829,customers!$B$1:$B1829,,0)</f>
        <v>Adora Roubert</v>
      </c>
      <c r="G830" s="2" t="str">
        <f>IF(_xlfn.XLOOKUP(C830, customers!$A:$A, customers!$C:$C,,0)=0, "", _xlfn.XLOOKUP(C830, customers!$A:$A, customers!$C:$C,,0))</f>
        <v>aroubertn0@tmall.com</v>
      </c>
      <c r="H830" s="2" t="str">
        <f>_xlfn.XLOOKUP(C830, customers!$A:$A, customers!$G:$G,,0)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f>INDEX(products!$A$1:$G$49,MATCH(orders!$D830,products!$A$1:$A$49,0),MATCH(orders!L$1,products!$A$1:$G$1,0))</f>
        <v>22.884999999999998</v>
      </c>
      <c r="M830">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cm="1">
        <f t="array" ref="F831">_xlfn.XLOOKUP(C831,customers!$A$1:$A1830,customers!$B$1:$B1830,,0)</f>
        <v>Hillel Mairs</v>
      </c>
      <c r="G831" s="2" t="str">
        <f>IF(_xlfn.XLOOKUP(C831, customers!$A:$A, customers!$C:$C,,0)=0, "", _xlfn.XLOOKUP(C831, customers!$A:$A, customers!$C:$C,,0))</f>
        <v>hmairsn1@so-net.ne.jp</v>
      </c>
      <c r="H831" s="2" t="str">
        <f>_xlfn.XLOOKUP(C831, customers!$A:$A, customers!$G:$G,,0)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f>INDEX(products!$A$1:$G$49,MATCH(orders!$D831,products!$A$1:$A$49,0),MATCH(orders!L$1,products!$A$1:$G$1,0))</f>
        <v>2.9849999999999999</v>
      </c>
      <c r="M831">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cm="1">
        <f t="array" ref="F832">_xlfn.XLOOKUP(C832,customers!$A$1:$A1831,customers!$B$1:$B1831,,0)</f>
        <v>Helaina Rainforth</v>
      </c>
      <c r="G832" s="2" t="str">
        <f>IF(_xlfn.XLOOKUP(C832, customers!$A:$A, customers!$C:$C,,0)=0, "", _xlfn.XLOOKUP(C832, customers!$A:$A, customers!$C:$C,,0))</f>
        <v>hrainforthn2@blog.com</v>
      </c>
      <c r="H832" s="2" t="str">
        <f>_xlfn.XLOOKUP(C832, customers!$A:$A, customers!$G:$G,,0)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f>INDEX(products!$A$1:$G$49,MATCH(orders!$D832,products!$A$1:$A$49,0),MATCH(orders!L$1,products!$A$1:$G$1,0))</f>
        <v>13.75</v>
      </c>
      <c r="M832">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cm="1">
        <f t="array" ref="F833">_xlfn.XLOOKUP(C833,customers!$A$1:$A1832,customers!$B$1:$B1832,,0)</f>
        <v>Helaina Rainforth</v>
      </c>
      <c r="G833" s="2" t="str">
        <f>IF(_xlfn.XLOOKUP(C833, customers!$A:$A, customers!$C:$C,,0)=0, "", _xlfn.XLOOKUP(C833, customers!$A:$A, customers!$C:$C,,0))</f>
        <v>hrainforthn2@blog.com</v>
      </c>
      <c r="H833" s="2" t="str">
        <f>_xlfn.XLOOKUP(C833, customers!$A:$A, customers!$G:$G,,0)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f>INDEX(products!$A$1:$G$49,MATCH(orders!$D833,products!$A$1:$A$49,0),MATCH(orders!L$1,products!$A$1:$G$1,0))</f>
        <v>2.9849999999999999</v>
      </c>
      <c r="M833">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cm="1">
        <f t="array" ref="F834">_xlfn.XLOOKUP(C834,customers!$A$1:$A1833,customers!$B$1:$B1833,,0)</f>
        <v>Isac Jesper</v>
      </c>
      <c r="G834" s="2" t="str">
        <f>IF(_xlfn.XLOOKUP(C834, customers!$A:$A, customers!$C:$C,,0)=0, "", _xlfn.XLOOKUP(C834, customers!$A:$A, customers!$C:$C,,0))</f>
        <v>ijespern4@theglobeandmail.com</v>
      </c>
      <c r="H834" s="2" t="str">
        <f>_xlfn.XLOOKUP(C834, customers!$A:$A, customers!$G:$G,,0)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f>INDEX(products!$A$1:$G$49,MATCH(orders!$D834,products!$A$1:$A$49,0),MATCH(orders!L$1,products!$A$1:$G$1,0))</f>
        <v>9.9499999999999993</v>
      </c>
      <c r="M834">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cm="1">
        <f t="array" ref="F835">_xlfn.XLOOKUP(C835,customers!$A$1:$A1834,customers!$B$1:$B1834,,0)</f>
        <v>Lenette Dwerryhouse</v>
      </c>
      <c r="G835" s="2" t="str">
        <f>IF(_xlfn.XLOOKUP(C835, customers!$A:$A, customers!$C:$C,,0)=0, "", _xlfn.XLOOKUP(C835, customers!$A:$A, customers!$C:$C,,0))</f>
        <v>ldwerryhousen5@gravatar.com</v>
      </c>
      <c r="H835" s="2" t="str">
        <f>_xlfn.XLOOKUP(C835, customers!$A:$A, customers!$G:$G,,0)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f>INDEX(products!$A$1:$G$49,MATCH(orders!$D835,products!$A$1:$A$49,0),MATCH(orders!L$1,products!$A$1:$G$1,0))</f>
        <v>20.584999999999997</v>
      </c>
      <c r="M835">
        <f t="shared" ref="M835:M898" si="39">L835*E835</f>
        <v>82.339999999999989</v>
      </c>
      <c r="N835" t="str">
        <f t="shared" ref="N835:N898" si="40">IF(I835="Rob", "Robusta", IF(I835="Exc","Excelsa",IF(I835="Ara","Arabica", 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cm="1">
        <f t="array" ref="F836">_xlfn.XLOOKUP(C836,customers!$A$1:$A1835,customers!$B$1:$B1835,,0)</f>
        <v>Nadeen Broomer</v>
      </c>
      <c r="G836" s="2" t="str">
        <f>IF(_xlfn.XLOOKUP(C836, customers!$A:$A, customers!$C:$C,,0)=0, "", _xlfn.XLOOKUP(C836, customers!$A:$A, customers!$C:$C,,0))</f>
        <v>nbroomern6@examiner.com</v>
      </c>
      <c r="H836" s="2" t="str">
        <f>_xlfn.XLOOKUP(C836, customers!$A:$A, customers!$G:$G,,0)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f>INDEX(products!$A$1:$G$49,MATCH(orders!$D836,products!$A$1:$A$49,0),MATCH(orders!L$1,products!$A$1:$G$1,0))</f>
        <v>22.884999999999998</v>
      </c>
      <c r="M836">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cm="1">
        <f t="array" ref="F837">_xlfn.XLOOKUP(C837,customers!$A$1:$A1836,customers!$B$1:$B1836,,0)</f>
        <v>Konstantine Thoumasson</v>
      </c>
      <c r="G837" s="2" t="str">
        <f>IF(_xlfn.XLOOKUP(C837, customers!$A:$A, customers!$C:$C,,0)=0, "", _xlfn.XLOOKUP(C837, customers!$A:$A, customers!$C:$C,,0))</f>
        <v>kthoumassonn7@bloglovin.com</v>
      </c>
      <c r="H837" s="2" t="str">
        <f>_xlfn.XLOOKUP(C837, customers!$A:$A, customers!$G:$G,,0)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f>INDEX(products!$A$1:$G$49,MATCH(orders!$D837,products!$A$1:$A$49,0),MATCH(orders!L$1,products!$A$1:$G$1,0))</f>
        <v>8.91</v>
      </c>
      <c r="M837">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cm="1">
        <f t="array" ref="F838">_xlfn.XLOOKUP(C838,customers!$A$1:$A1837,customers!$B$1:$B1837,,0)</f>
        <v>Frans Habbergham</v>
      </c>
      <c r="G838" s="2" t="str">
        <f>IF(_xlfn.XLOOKUP(C838, customers!$A:$A, customers!$C:$C,,0)=0, "", _xlfn.XLOOKUP(C838, customers!$A:$A, customers!$C:$C,,0))</f>
        <v>fhabberghamn8@discovery.com</v>
      </c>
      <c r="H838" s="2" t="str">
        <f>_xlfn.XLOOKUP(C838, customers!$A:$A, customers!$G:$G,,0)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f>INDEX(products!$A$1:$G$49,MATCH(orders!$D838,products!$A$1:$A$49,0),MATCH(orders!L$1,products!$A$1:$G$1,0))</f>
        <v>2.9849999999999999</v>
      </c>
      <c r="M838">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cm="1">
        <f t="array" ref="F839">_xlfn.XLOOKUP(C839,customers!$A$1:$A1838,customers!$B$1:$B1838,,0)</f>
        <v>Allis Wilmore</v>
      </c>
      <c r="G839" s="2" t="str">
        <f>IF(_xlfn.XLOOKUP(C839, customers!$A:$A, customers!$C:$C,,0)=0, "", _xlfn.XLOOKUP(C839, customers!$A:$A, customers!$C:$C,,0))</f>
        <v/>
      </c>
      <c r="H839" s="2" t="str">
        <f>_xlfn.XLOOKUP(C839, customers!$A:$A, customers!$G:$G,,0)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f>INDEX(products!$A$1:$G$49,MATCH(orders!$D839,products!$A$1:$A$49,0),MATCH(orders!L$1,products!$A$1:$G$1,0))</f>
        <v>33.464999999999996</v>
      </c>
      <c r="M839">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cm="1">
        <f t="array" ref="F840">_xlfn.XLOOKUP(C840,customers!$A$1:$A1839,customers!$B$1:$B1839,,0)</f>
        <v>Romain Avrashin</v>
      </c>
      <c r="G840" s="2" t="str">
        <f>IF(_xlfn.XLOOKUP(C840, customers!$A:$A, customers!$C:$C,,0)=0, "", _xlfn.XLOOKUP(C840, customers!$A:$A, customers!$C:$C,,0))</f>
        <v>ravrashinna@tamu.edu</v>
      </c>
      <c r="H840" s="2" t="str">
        <f>_xlfn.XLOOKUP(C840, customers!$A:$A, customers!$G:$G,,0)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f>INDEX(products!$A$1:$G$49,MATCH(orders!$D840,products!$A$1:$A$49,0),MATCH(orders!L$1,products!$A$1:$G$1,0))</f>
        <v>22.884999999999998</v>
      </c>
      <c r="M840">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cm="1">
        <f t="array" ref="F841">_xlfn.XLOOKUP(C841,customers!$A$1:$A1840,customers!$B$1:$B1840,,0)</f>
        <v>Miran Doidge</v>
      </c>
      <c r="G841" s="2" t="str">
        <f>IF(_xlfn.XLOOKUP(C841, customers!$A:$A, customers!$C:$C,,0)=0, "", _xlfn.XLOOKUP(C841, customers!$A:$A, customers!$C:$C,,0))</f>
        <v>mdoidgenb@etsy.com</v>
      </c>
      <c r="H841" s="2" t="str">
        <f>_xlfn.XLOOKUP(C841, customers!$A:$A, customers!$G:$G,,0)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f>INDEX(products!$A$1:$G$49,MATCH(orders!$D841,products!$A$1:$A$49,0),MATCH(orders!L$1,products!$A$1:$G$1,0))</f>
        <v>8.25</v>
      </c>
      <c r="M841">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cm="1">
        <f t="array" ref="F842">_xlfn.XLOOKUP(C842,customers!$A$1:$A1841,customers!$B$1:$B1841,,0)</f>
        <v>Janeva Edinboro</v>
      </c>
      <c r="G842" s="2" t="str">
        <f>IF(_xlfn.XLOOKUP(C842, customers!$A:$A, customers!$C:$C,,0)=0, "", _xlfn.XLOOKUP(C842, customers!$A:$A, customers!$C:$C,,0))</f>
        <v>jedinboronc@reverbnation.com</v>
      </c>
      <c r="H842" s="2" t="str">
        <f>_xlfn.XLOOKUP(C842, customers!$A:$A, customers!$G:$G,,0)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f>INDEX(products!$A$1:$G$49,MATCH(orders!$D842,products!$A$1:$A$49,0),MATCH(orders!L$1,products!$A$1:$G$1,0))</f>
        <v>7.169999999999999</v>
      </c>
      <c r="M842">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cm="1">
        <f t="array" ref="F843">_xlfn.XLOOKUP(C843,customers!$A$1:$A1842,customers!$B$1:$B1842,,0)</f>
        <v>Trumaine Tewelson</v>
      </c>
      <c r="G843" s="2" t="str">
        <f>IF(_xlfn.XLOOKUP(C843, customers!$A:$A, customers!$C:$C,,0)=0, "", _xlfn.XLOOKUP(C843, customers!$A:$A, customers!$C:$C,,0))</f>
        <v>ttewelsonnd@cdbaby.com</v>
      </c>
      <c r="H843" s="2" t="str">
        <f>_xlfn.XLOOKUP(C843, customers!$A:$A, customers!$G:$G,,0)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f>INDEX(products!$A$1:$G$49,MATCH(orders!$D843,products!$A$1:$A$49,0),MATCH(orders!L$1,products!$A$1:$G$1,0))</f>
        <v>4.3650000000000002</v>
      </c>
      <c r="M843">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cm="1">
        <f t="array" ref="F844">_xlfn.XLOOKUP(C844,customers!$A$1:$A1843,customers!$B$1:$B1843,,0)</f>
        <v>Odelia Skerme</v>
      </c>
      <c r="G844" s="2" t="str">
        <f>IF(_xlfn.XLOOKUP(C844, customers!$A:$A, customers!$C:$C,,0)=0, "", _xlfn.XLOOKUP(C844, customers!$A:$A, customers!$C:$C,,0))</f>
        <v>oskermen3@hatena.ne.jp</v>
      </c>
      <c r="H844" s="2" t="str">
        <f>_xlfn.XLOOKUP(C844, customers!$A:$A, customers!$G:$G,,0)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f>INDEX(products!$A$1:$G$49,MATCH(orders!$D844,products!$A$1:$A$49,0),MATCH(orders!L$1,products!$A$1:$G$1,0))</f>
        <v>4.125</v>
      </c>
      <c r="M844">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cm="1">
        <f t="array" ref="F845">_xlfn.XLOOKUP(C845,customers!$A$1:$A1844,customers!$B$1:$B1844,,0)</f>
        <v>De Drewitt</v>
      </c>
      <c r="G845" s="2" t="str">
        <f>IF(_xlfn.XLOOKUP(C845, customers!$A:$A, customers!$C:$C,,0)=0, "", _xlfn.XLOOKUP(C845, customers!$A:$A, customers!$C:$C,,0))</f>
        <v>ddrewittnf@mapquest.com</v>
      </c>
      <c r="H845" s="2" t="str">
        <f>_xlfn.XLOOKUP(C845, customers!$A:$A, customers!$G:$G,,0)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f>INDEX(products!$A$1:$G$49,MATCH(orders!$D845,products!$A$1:$A$49,0),MATCH(orders!L$1,products!$A$1:$G$1,0))</f>
        <v>4.125</v>
      </c>
      <c r="M84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cm="1">
        <f t="array" ref="F846">_xlfn.XLOOKUP(C846,customers!$A$1:$A1845,customers!$B$1:$B1845,,0)</f>
        <v>Adelheid Gladhill</v>
      </c>
      <c r="G846" s="2" t="str">
        <f>IF(_xlfn.XLOOKUP(C846, customers!$A:$A, customers!$C:$C,,0)=0, "", _xlfn.XLOOKUP(C846, customers!$A:$A, customers!$C:$C,,0))</f>
        <v>agladhillng@stanford.edu</v>
      </c>
      <c r="H846" s="2" t="str">
        <f>_xlfn.XLOOKUP(C846, customers!$A:$A, customers!$G:$G,,0)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f>INDEX(products!$A$1:$G$49,MATCH(orders!$D846,products!$A$1:$A$49,0),MATCH(orders!L$1,products!$A$1:$G$1,0))</f>
        <v>5.97</v>
      </c>
      <c r="M846">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cm="1">
        <f t="array" ref="F847">_xlfn.XLOOKUP(C847,customers!$A$1:$A1846,customers!$B$1:$B1846,,0)</f>
        <v>Murielle Lorinez</v>
      </c>
      <c r="G847" s="2" t="str">
        <f>IF(_xlfn.XLOOKUP(C847, customers!$A:$A, customers!$C:$C,,0)=0, "", _xlfn.XLOOKUP(C847, customers!$A:$A, customers!$C:$C,,0))</f>
        <v>mlorineznh@whitehouse.gov</v>
      </c>
      <c r="H847" s="2" t="str">
        <f>_xlfn.XLOOKUP(C847, customers!$A:$A, customers!$G:$G,,0)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f>INDEX(products!$A$1:$G$49,MATCH(orders!$D847,products!$A$1:$A$49,0),MATCH(orders!L$1,products!$A$1:$G$1,0))</f>
        <v>27.945</v>
      </c>
      <c r="M847">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cm="1">
        <f t="array" ref="F848">_xlfn.XLOOKUP(C848,customers!$A$1:$A1847,customers!$B$1:$B1847,,0)</f>
        <v>Edin Mathe</v>
      </c>
      <c r="G848" s="2" t="str">
        <f>IF(_xlfn.XLOOKUP(C848, customers!$A:$A, customers!$C:$C,,0)=0, "", _xlfn.XLOOKUP(C848, customers!$A:$A, customers!$C:$C,,0))</f>
        <v/>
      </c>
      <c r="H848" s="2" t="str">
        <f>_xlfn.XLOOKUP(C848, customers!$A:$A, customers!$G:$G,,0)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f>INDEX(products!$A$1:$G$49,MATCH(orders!$D848,products!$A$1:$A$49,0),MATCH(orders!L$1,products!$A$1:$G$1,0))</f>
        <v>25.874999999999996</v>
      </c>
      <c r="M848">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cm="1">
        <f t="array" ref="F849">_xlfn.XLOOKUP(C849,customers!$A$1:$A1848,customers!$B$1:$B1848,,0)</f>
        <v>Mordy Van Der Vlies</v>
      </c>
      <c r="G849" s="2" t="str">
        <f>IF(_xlfn.XLOOKUP(C849, customers!$A:$A, customers!$C:$C,,0)=0, "", _xlfn.XLOOKUP(C849, customers!$A:$A, customers!$C:$C,,0))</f>
        <v>mvannj@wikipedia.org</v>
      </c>
      <c r="H849" s="2" t="str">
        <f>_xlfn.XLOOKUP(C849, customers!$A:$A, customers!$G:$G,,0)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f>INDEX(products!$A$1:$G$49,MATCH(orders!$D849,products!$A$1:$A$49,0),MATCH(orders!L$1,products!$A$1:$G$1,0))</f>
        <v>2.9849999999999999</v>
      </c>
      <c r="M849">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cm="1">
        <f t="array" ref="F850">_xlfn.XLOOKUP(C850,customers!$A$1:$A1849,customers!$B$1:$B1849,,0)</f>
        <v>Spencer Wastell</v>
      </c>
      <c r="G850" s="2" t="str">
        <f>IF(_xlfn.XLOOKUP(C850, customers!$A:$A, customers!$C:$C,,0)=0, "", _xlfn.XLOOKUP(C850, customers!$A:$A, customers!$C:$C,,0))</f>
        <v/>
      </c>
      <c r="H850" s="2" t="str">
        <f>_xlfn.XLOOKUP(C850, customers!$A:$A, customers!$G:$G,,0)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f>INDEX(products!$A$1:$G$49,MATCH(orders!$D850,products!$A$1:$A$49,0),MATCH(orders!L$1,products!$A$1:$G$1,0))</f>
        <v>8.91</v>
      </c>
      <c r="M850">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cm="1">
        <f t="array" ref="F851">_xlfn.XLOOKUP(C851,customers!$A$1:$A1850,customers!$B$1:$B1850,,0)</f>
        <v>Jemimah Ethelston</v>
      </c>
      <c r="G851" s="2" t="str">
        <f>IF(_xlfn.XLOOKUP(C851, customers!$A:$A, customers!$C:$C,,0)=0, "", _xlfn.XLOOKUP(C851, customers!$A:$A, customers!$C:$C,,0))</f>
        <v>jethelstonnl@creativecommons.org</v>
      </c>
      <c r="H851" s="2" t="str">
        <f>_xlfn.XLOOKUP(C851, customers!$A:$A, customers!$G:$G,,0)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f>INDEX(products!$A$1:$G$49,MATCH(orders!$D851,products!$A$1:$A$49,0),MATCH(orders!L$1,products!$A$1:$G$1,0))</f>
        <v>3.8849999999999998</v>
      </c>
      <c r="M851">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cm="1">
        <f t="array" ref="F852">_xlfn.XLOOKUP(C852,customers!$A$1:$A1851,customers!$B$1:$B1851,,0)</f>
        <v>Jemimah Ethelston</v>
      </c>
      <c r="G852" s="2" t="str">
        <f>IF(_xlfn.XLOOKUP(C852, customers!$A:$A, customers!$C:$C,,0)=0, "", _xlfn.XLOOKUP(C852, customers!$A:$A, customers!$C:$C,,0))</f>
        <v>jethelstonnl@creativecommons.org</v>
      </c>
      <c r="H852" s="2" t="str">
        <f>_xlfn.XLOOKUP(C852, customers!$A:$A, customers!$G:$G,,0)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f>INDEX(products!$A$1:$G$49,MATCH(orders!$D852,products!$A$1:$A$49,0),MATCH(orders!L$1,products!$A$1:$G$1,0))</f>
        <v>3.375</v>
      </c>
      <c r="M852">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cm="1">
        <f t="array" ref="F853">_xlfn.XLOOKUP(C853,customers!$A$1:$A1852,customers!$B$1:$B1852,,0)</f>
        <v>Perice Eberz</v>
      </c>
      <c r="G853" s="2" t="str">
        <f>IF(_xlfn.XLOOKUP(C853, customers!$A:$A, customers!$C:$C,,0)=0, "", _xlfn.XLOOKUP(C853, customers!$A:$A, customers!$C:$C,,0))</f>
        <v>peberznn@woothemes.com</v>
      </c>
      <c r="H853" s="2" t="str">
        <f>_xlfn.XLOOKUP(C853, customers!$A:$A, customers!$G:$G,,0)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f>INDEX(products!$A$1:$G$49,MATCH(orders!$D853,products!$A$1:$A$49,0),MATCH(orders!L$1,products!$A$1:$G$1,0))</f>
        <v>7.77</v>
      </c>
      <c r="M853">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cm="1">
        <f t="array" ref="F854">_xlfn.XLOOKUP(C854,customers!$A$1:$A1853,customers!$B$1:$B1853,,0)</f>
        <v>Bear Gaish</v>
      </c>
      <c r="G854" s="2" t="str">
        <f>IF(_xlfn.XLOOKUP(C854, customers!$A:$A, customers!$C:$C,,0)=0, "", _xlfn.XLOOKUP(C854, customers!$A:$A, customers!$C:$C,,0))</f>
        <v>bgaishno@altervista.org</v>
      </c>
      <c r="H854" s="2" t="str">
        <f>_xlfn.XLOOKUP(C854, customers!$A:$A, customers!$G:$G,,0)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f>INDEX(products!$A$1:$G$49,MATCH(orders!$D854,products!$A$1:$A$49,0),MATCH(orders!L$1,products!$A$1:$G$1,0))</f>
        <v>29.784999999999997</v>
      </c>
      <c r="M854">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cm="1">
        <f t="array" ref="F855">_xlfn.XLOOKUP(C855,customers!$A$1:$A1854,customers!$B$1:$B1854,,0)</f>
        <v>Lynnea Danton</v>
      </c>
      <c r="G855" s="2" t="str">
        <f>IF(_xlfn.XLOOKUP(C855, customers!$A:$A, customers!$C:$C,,0)=0, "", _xlfn.XLOOKUP(C855, customers!$A:$A, customers!$C:$C,,0))</f>
        <v>ldantonnp@miitbeian.gov.cn</v>
      </c>
      <c r="H855" s="2" t="str">
        <f>_xlfn.XLOOKUP(C855, customers!$A:$A, customers!$G:$G,,0)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f>INDEX(products!$A$1:$G$49,MATCH(orders!$D855,products!$A$1:$A$49,0),MATCH(orders!L$1,products!$A$1:$G$1,0))</f>
        <v>9.9499999999999993</v>
      </c>
      <c r="M85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cm="1">
        <f t="array" ref="F856">_xlfn.XLOOKUP(C856,customers!$A$1:$A1855,customers!$B$1:$B1855,,0)</f>
        <v>Skipton Morrall</v>
      </c>
      <c r="G856" s="2" t="str">
        <f>IF(_xlfn.XLOOKUP(C856, customers!$A:$A, customers!$C:$C,,0)=0, "", _xlfn.XLOOKUP(C856, customers!$A:$A, customers!$C:$C,,0))</f>
        <v>smorrallnq@answers.com</v>
      </c>
      <c r="H856" s="2" t="str">
        <f>_xlfn.XLOOKUP(C856, customers!$A:$A, customers!$G:$G,,0)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f>INDEX(products!$A$1:$G$49,MATCH(orders!$D856,products!$A$1:$A$49,0),MATCH(orders!L$1,products!$A$1:$G$1,0))</f>
        <v>7.169999999999999</v>
      </c>
      <c r="M856">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cm="1">
        <f t="array" ref="F857">_xlfn.XLOOKUP(C857,customers!$A$1:$A1856,customers!$B$1:$B1856,,0)</f>
        <v>Devan Crownshaw</v>
      </c>
      <c r="G857" s="2" t="str">
        <f>IF(_xlfn.XLOOKUP(C857, customers!$A:$A, customers!$C:$C,,0)=0, "", _xlfn.XLOOKUP(C857, customers!$A:$A, customers!$C:$C,,0))</f>
        <v>dcrownshawnr@photobucket.com</v>
      </c>
      <c r="H857" s="2" t="str">
        <f>_xlfn.XLOOKUP(C857, customers!$A:$A, customers!$G:$G,,0)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f>INDEX(products!$A$1:$G$49,MATCH(orders!$D857,products!$A$1:$A$49,0),MATCH(orders!L$1,products!$A$1:$G$1,0))</f>
        <v>29.784999999999997</v>
      </c>
      <c r="M857">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cm="1">
        <f t="array" ref="F858">_xlfn.XLOOKUP(C858,customers!$A$1:$A1857,customers!$B$1:$B1857,,0)</f>
        <v>Odelia Skerme</v>
      </c>
      <c r="G858" s="2" t="str">
        <f>IF(_xlfn.XLOOKUP(C858, customers!$A:$A, customers!$C:$C,,0)=0, "", _xlfn.XLOOKUP(C858, customers!$A:$A, customers!$C:$C,,0))</f>
        <v>oskermen3@hatena.ne.jp</v>
      </c>
      <c r="H858" s="2" t="str">
        <f>_xlfn.XLOOKUP(C858, customers!$A:$A, customers!$G:$G,,0)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f>INDEX(products!$A$1:$G$49,MATCH(orders!$D858,products!$A$1:$A$49,0),MATCH(orders!L$1,products!$A$1:$G$1,0))</f>
        <v>4.3650000000000002</v>
      </c>
      <c r="M858">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cm="1">
        <f t="array" ref="F859">_xlfn.XLOOKUP(C859,customers!$A$1:$A1858,customers!$B$1:$B1858,,0)</f>
        <v>Joceline Reddoch</v>
      </c>
      <c r="G859" s="2" t="str">
        <f>IF(_xlfn.XLOOKUP(C859, customers!$A:$A, customers!$C:$C,,0)=0, "", _xlfn.XLOOKUP(C859, customers!$A:$A, customers!$C:$C,,0))</f>
        <v>jreddochnt@sun.com</v>
      </c>
      <c r="H859" s="2" t="str">
        <f>_xlfn.XLOOKUP(C859, customers!$A:$A, customers!$G:$G,,0)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f>INDEX(products!$A$1:$G$49,MATCH(orders!$D859,products!$A$1:$A$49,0),MATCH(orders!L$1,products!$A$1:$G$1,0))</f>
        <v>27.484999999999996</v>
      </c>
      <c r="M859">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cm="1">
        <f t="array" ref="F860">_xlfn.XLOOKUP(C860,customers!$A$1:$A1859,customers!$B$1:$B1859,,0)</f>
        <v>Shelley Titley</v>
      </c>
      <c r="G860" s="2" t="str">
        <f>IF(_xlfn.XLOOKUP(C860, customers!$A:$A, customers!$C:$C,,0)=0, "", _xlfn.XLOOKUP(C860, customers!$A:$A, customers!$C:$C,,0))</f>
        <v>stitleynu@whitehouse.gov</v>
      </c>
      <c r="H860" s="2" t="str">
        <f>_xlfn.XLOOKUP(C860, customers!$A:$A, customers!$G:$G,,0)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f>INDEX(products!$A$1:$G$49,MATCH(orders!$D860,products!$A$1:$A$49,0),MATCH(orders!L$1,products!$A$1:$G$1,0))</f>
        <v>8.73</v>
      </c>
      <c r="M860">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cm="1">
        <f t="array" ref="F861">_xlfn.XLOOKUP(C861,customers!$A$1:$A1860,customers!$B$1:$B1860,,0)</f>
        <v>Redd Simao</v>
      </c>
      <c r="G861" s="2" t="str">
        <f>IF(_xlfn.XLOOKUP(C861, customers!$A:$A, customers!$C:$C,,0)=0, "", _xlfn.XLOOKUP(C861, customers!$A:$A, customers!$C:$C,,0))</f>
        <v>rsimaonv@simplemachines.org</v>
      </c>
      <c r="H861" s="2" t="str">
        <f>_xlfn.XLOOKUP(C861, customers!$A:$A, customers!$G:$G,,0)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f>INDEX(products!$A$1:$G$49,MATCH(orders!$D861,products!$A$1:$A$49,0),MATCH(orders!L$1,products!$A$1:$G$1,0))</f>
        <v>29.784999999999997</v>
      </c>
      <c r="M861">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cm="1">
        <f t="array" ref="F862">_xlfn.XLOOKUP(C862,customers!$A$1:$A1861,customers!$B$1:$B1861,,0)</f>
        <v>Cece Inker</v>
      </c>
      <c r="G862" s="2" t="str">
        <f>IF(_xlfn.XLOOKUP(C862, customers!$A:$A, customers!$C:$C,,0)=0, "", _xlfn.XLOOKUP(C862, customers!$A:$A, customers!$C:$C,,0))</f>
        <v/>
      </c>
      <c r="H862" s="2" t="str">
        <f>_xlfn.XLOOKUP(C862, customers!$A:$A, customers!$G:$G,,0)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f>INDEX(products!$A$1:$G$49,MATCH(orders!$D862,products!$A$1:$A$49,0),MATCH(orders!L$1,products!$A$1:$G$1,0))</f>
        <v>25.874999999999996</v>
      </c>
      <c r="M862">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cm="1">
        <f t="array" ref="F863">_xlfn.XLOOKUP(C863,customers!$A$1:$A1862,customers!$B$1:$B1862,,0)</f>
        <v>Noel Chisholm</v>
      </c>
      <c r="G863" s="2" t="str">
        <f>IF(_xlfn.XLOOKUP(C863, customers!$A:$A, customers!$C:$C,,0)=0, "", _xlfn.XLOOKUP(C863, customers!$A:$A, customers!$C:$C,,0))</f>
        <v>nchisholmnx@example.com</v>
      </c>
      <c r="H863" s="2" t="str">
        <f>_xlfn.XLOOKUP(C863, customers!$A:$A, customers!$G:$G,,0)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f>INDEX(products!$A$1:$G$49,MATCH(orders!$D863,products!$A$1:$A$49,0),MATCH(orders!L$1,products!$A$1:$G$1,0))</f>
        <v>12.95</v>
      </c>
      <c r="M863">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cm="1">
        <f t="array" ref="F864">_xlfn.XLOOKUP(C864,customers!$A$1:$A1863,customers!$B$1:$B1863,,0)</f>
        <v>Grazia Oats</v>
      </c>
      <c r="G864" s="2" t="str">
        <f>IF(_xlfn.XLOOKUP(C864, customers!$A:$A, customers!$C:$C,,0)=0, "", _xlfn.XLOOKUP(C864, customers!$A:$A, customers!$C:$C,,0))</f>
        <v>goatsny@live.com</v>
      </c>
      <c r="H864" s="2" t="str">
        <f>_xlfn.XLOOKUP(C864, customers!$A:$A, customers!$G:$G,,0)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f>INDEX(products!$A$1:$G$49,MATCH(orders!$D864,products!$A$1:$A$49,0),MATCH(orders!L$1,products!$A$1:$G$1,0))</f>
        <v>9.9499999999999993</v>
      </c>
      <c r="M864">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cm="1">
        <f t="array" ref="F865">_xlfn.XLOOKUP(C865,customers!$A$1:$A1864,customers!$B$1:$B1864,,0)</f>
        <v>Meade Birkin</v>
      </c>
      <c r="G865" s="2" t="str">
        <f>IF(_xlfn.XLOOKUP(C865, customers!$A:$A, customers!$C:$C,,0)=0, "", _xlfn.XLOOKUP(C865, customers!$A:$A, customers!$C:$C,,0))</f>
        <v>mbirkinnz@java.com</v>
      </c>
      <c r="H865" s="2" t="str">
        <f>_xlfn.XLOOKUP(C865, customers!$A:$A, customers!$G:$G,,0)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f>INDEX(products!$A$1:$G$49,MATCH(orders!$D865,products!$A$1:$A$49,0),MATCH(orders!L$1,products!$A$1:$G$1,0))</f>
        <v>14.55</v>
      </c>
      <c r="M86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cm="1">
        <f t="array" ref="F866">_xlfn.XLOOKUP(C866,customers!$A$1:$A1865,customers!$B$1:$B1865,,0)</f>
        <v>Ronda Pyson</v>
      </c>
      <c r="G866" s="2" t="str">
        <f>IF(_xlfn.XLOOKUP(C866, customers!$A:$A, customers!$C:$C,,0)=0, "", _xlfn.XLOOKUP(C866, customers!$A:$A, customers!$C:$C,,0))</f>
        <v>rpysono0@constantcontact.com</v>
      </c>
      <c r="H866" s="2" t="str">
        <f>_xlfn.XLOOKUP(C866, customers!$A:$A, customers!$G:$G,,0)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f>INDEX(products!$A$1:$G$49,MATCH(orders!$D866,products!$A$1:$A$49,0),MATCH(orders!L$1,products!$A$1:$G$1,0))</f>
        <v>3.5849999999999995</v>
      </c>
      <c r="M866">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cm="1">
        <f t="array" ref="F867">_xlfn.XLOOKUP(C867,customers!$A$1:$A1866,customers!$B$1:$B1866,,0)</f>
        <v>Modesty MacConnechie</v>
      </c>
      <c r="G867" s="2" t="str">
        <f>IF(_xlfn.XLOOKUP(C867, customers!$A:$A, customers!$C:$C,,0)=0, "", _xlfn.XLOOKUP(C867, customers!$A:$A, customers!$C:$C,,0))</f>
        <v>mmacconnechieo9@reuters.com</v>
      </c>
      <c r="H867" s="2" t="str">
        <f>_xlfn.XLOOKUP(C867, customers!$A:$A, customers!$G:$G,,0)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f>INDEX(products!$A$1:$G$49,MATCH(orders!$D867,products!$A$1:$A$49,0),MATCH(orders!L$1,products!$A$1:$G$1,0))</f>
        <v>6.75</v>
      </c>
      <c r="M867">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cm="1">
        <f t="array" ref="F868">_xlfn.XLOOKUP(C868,customers!$A$1:$A1867,customers!$B$1:$B1867,,0)</f>
        <v>Rafaela Treacher</v>
      </c>
      <c r="G868" s="2" t="str">
        <f>IF(_xlfn.XLOOKUP(C868, customers!$A:$A, customers!$C:$C,,0)=0, "", _xlfn.XLOOKUP(C868, customers!$A:$A, customers!$C:$C,,0))</f>
        <v>rtreachero2@usa.gov</v>
      </c>
      <c r="H868" s="2" t="str">
        <f>_xlfn.XLOOKUP(C868, customers!$A:$A, customers!$G:$G,,0)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f>INDEX(products!$A$1:$G$49,MATCH(orders!$D868,products!$A$1:$A$49,0),MATCH(orders!L$1,products!$A$1:$G$1,0))</f>
        <v>5.97</v>
      </c>
      <c r="M868">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cm="1">
        <f t="array" ref="F869">_xlfn.XLOOKUP(C869,customers!$A$1:$A1868,customers!$B$1:$B1868,,0)</f>
        <v>Bee Fattorini</v>
      </c>
      <c r="G869" s="2" t="str">
        <f>IF(_xlfn.XLOOKUP(C869, customers!$A:$A, customers!$C:$C,,0)=0, "", _xlfn.XLOOKUP(C869, customers!$A:$A, customers!$C:$C,,0))</f>
        <v>bfattorinio3@quantcast.com</v>
      </c>
      <c r="H869" s="2" t="str">
        <f>_xlfn.XLOOKUP(C869, customers!$A:$A, customers!$G:$G,,0)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f>INDEX(products!$A$1:$G$49,MATCH(orders!$D869,products!$A$1:$A$49,0),MATCH(orders!L$1,products!$A$1:$G$1,0))</f>
        <v>29.784999999999997</v>
      </c>
      <c r="M869">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cm="1">
        <f t="array" ref="F870">_xlfn.XLOOKUP(C870,customers!$A$1:$A1869,customers!$B$1:$B1869,,0)</f>
        <v>Margie Palleske</v>
      </c>
      <c r="G870" s="2" t="str">
        <f>IF(_xlfn.XLOOKUP(C870, customers!$A:$A, customers!$C:$C,,0)=0, "", _xlfn.XLOOKUP(C870, customers!$A:$A, customers!$C:$C,,0))</f>
        <v>mpalleskeo4@nyu.edu</v>
      </c>
      <c r="H870" s="2" t="str">
        <f>_xlfn.XLOOKUP(C870, customers!$A:$A, customers!$G:$G,,0)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f>INDEX(products!$A$1:$G$49,MATCH(orders!$D870,products!$A$1:$A$49,0),MATCH(orders!L$1,products!$A$1:$G$1,0))</f>
        <v>8.25</v>
      </c>
      <c r="M870">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cm="1">
        <f t="array" ref="F871">_xlfn.XLOOKUP(C871,customers!$A$1:$A1870,customers!$B$1:$B1870,,0)</f>
        <v>Alexina Randals</v>
      </c>
      <c r="G871" s="2" t="str">
        <f>IF(_xlfn.XLOOKUP(C871, customers!$A:$A, customers!$C:$C,,0)=0, "", _xlfn.XLOOKUP(C871, customers!$A:$A, customers!$C:$C,,0))</f>
        <v/>
      </c>
      <c r="H871" s="2" t="str">
        <f>_xlfn.XLOOKUP(C871, customers!$A:$A, customers!$G:$G,,0)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f>INDEX(products!$A$1:$G$49,MATCH(orders!$D871,products!$A$1:$A$49,0),MATCH(orders!L$1,products!$A$1:$G$1,0))</f>
        <v>5.97</v>
      </c>
      <c r="M871">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cm="1">
        <f t="array" ref="F872">_xlfn.XLOOKUP(C872,customers!$A$1:$A1871,customers!$B$1:$B1871,,0)</f>
        <v>Filip Antcliffe</v>
      </c>
      <c r="G872" s="2" t="str">
        <f>IF(_xlfn.XLOOKUP(C872, customers!$A:$A, customers!$C:$C,,0)=0, "", _xlfn.XLOOKUP(C872, customers!$A:$A, customers!$C:$C,,0))</f>
        <v>fantcliffeo6@amazon.co.jp</v>
      </c>
      <c r="H872" s="2" t="str">
        <f>_xlfn.XLOOKUP(C872, customers!$A:$A, customers!$G:$G,,0)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f>INDEX(products!$A$1:$G$49,MATCH(orders!$D872,products!$A$1:$A$49,0),MATCH(orders!L$1,products!$A$1:$G$1,0))</f>
        <v>7.29</v>
      </c>
      <c r="M872">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cm="1">
        <f t="array" ref="F873">_xlfn.XLOOKUP(C873,customers!$A$1:$A1872,customers!$B$1:$B1872,,0)</f>
        <v>Peyter Matignon</v>
      </c>
      <c r="G873" s="2" t="str">
        <f>IF(_xlfn.XLOOKUP(C873, customers!$A:$A, customers!$C:$C,,0)=0, "", _xlfn.XLOOKUP(C873, customers!$A:$A, customers!$C:$C,,0))</f>
        <v>pmatignono7@harvard.edu</v>
      </c>
      <c r="H873" s="2" t="str">
        <f>_xlfn.XLOOKUP(C873, customers!$A:$A, customers!$G:$G,,0)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f>INDEX(products!$A$1:$G$49,MATCH(orders!$D873,products!$A$1:$A$49,0),MATCH(orders!L$1,products!$A$1:$G$1,0))</f>
        <v>14.85</v>
      </c>
      <c r="M873">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cm="1">
        <f t="array" ref="F874">_xlfn.XLOOKUP(C874,customers!$A$1:$A1873,customers!$B$1:$B1873,,0)</f>
        <v>Claudie Weond</v>
      </c>
      <c r="G874" s="2" t="str">
        <f>IF(_xlfn.XLOOKUP(C874, customers!$A:$A, customers!$C:$C,,0)=0, "", _xlfn.XLOOKUP(C874, customers!$A:$A, customers!$C:$C,,0))</f>
        <v>cweondo8@theglobeandmail.com</v>
      </c>
      <c r="H874" s="2" t="str">
        <f>_xlfn.XLOOKUP(C874, customers!$A:$A, customers!$G:$G,,0)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f>INDEX(products!$A$1:$G$49,MATCH(orders!$D874,products!$A$1:$A$49,0),MATCH(orders!L$1,products!$A$1:$G$1,0))</f>
        <v>11.25</v>
      </c>
      <c r="M874">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cm="1">
        <f t="array" ref="F875">_xlfn.XLOOKUP(C875,customers!$A$1:$A1874,customers!$B$1:$B1874,,0)</f>
        <v>Modesty MacConnechie</v>
      </c>
      <c r="G875" s="2" t="str">
        <f>IF(_xlfn.XLOOKUP(C875, customers!$A:$A, customers!$C:$C,,0)=0, "", _xlfn.XLOOKUP(C875, customers!$A:$A, customers!$C:$C,,0))</f>
        <v>mmacconnechieo9@reuters.com</v>
      </c>
      <c r="H875" s="2" t="str">
        <f>_xlfn.XLOOKUP(C875, customers!$A:$A, customers!$G:$G,,0)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f>INDEX(products!$A$1:$G$49,MATCH(orders!$D875,products!$A$1:$A$49,0),MATCH(orders!L$1,products!$A$1:$G$1,0))</f>
        <v>2.9849999999999999</v>
      </c>
      <c r="M87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cm="1">
        <f t="array" ref="F876">_xlfn.XLOOKUP(C876,customers!$A$1:$A1875,customers!$B$1:$B1875,,0)</f>
        <v>Jaquenette Skentelbery</v>
      </c>
      <c r="G876" s="2" t="str">
        <f>IF(_xlfn.XLOOKUP(C876, customers!$A:$A, customers!$C:$C,,0)=0, "", _xlfn.XLOOKUP(C876, customers!$A:$A, customers!$C:$C,,0))</f>
        <v>jskentelberyoa@paypal.com</v>
      </c>
      <c r="H876" s="2" t="str">
        <f>_xlfn.XLOOKUP(C876, customers!$A:$A, customers!$G:$G,,0)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f>INDEX(products!$A$1:$G$49,MATCH(orders!$D876,products!$A$1:$A$49,0),MATCH(orders!L$1,products!$A$1:$G$1,0))</f>
        <v>12.95</v>
      </c>
      <c r="M876">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cm="1">
        <f t="array" ref="F877">_xlfn.XLOOKUP(C877,customers!$A$1:$A1876,customers!$B$1:$B1876,,0)</f>
        <v>Orazio Comber</v>
      </c>
      <c r="G877" s="2" t="str">
        <f>IF(_xlfn.XLOOKUP(C877, customers!$A:$A, customers!$C:$C,,0)=0, "", _xlfn.XLOOKUP(C877, customers!$A:$A, customers!$C:$C,,0))</f>
        <v>ocomberob@goo.gl</v>
      </c>
      <c r="H877" s="2" t="str">
        <f>_xlfn.XLOOKUP(C877, customers!$A:$A, customers!$G:$G,,0)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f>INDEX(products!$A$1:$G$49,MATCH(orders!$D877,products!$A$1:$A$49,0),MATCH(orders!L$1,products!$A$1:$G$1,0))</f>
        <v>8.73</v>
      </c>
      <c r="M877">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cm="1">
        <f t="array" ref="F878">_xlfn.XLOOKUP(C878,customers!$A$1:$A1877,customers!$B$1:$B1877,,0)</f>
        <v>Orazio Comber</v>
      </c>
      <c r="G878" s="2" t="str">
        <f>IF(_xlfn.XLOOKUP(C878, customers!$A:$A, customers!$C:$C,,0)=0, "", _xlfn.XLOOKUP(C878, customers!$A:$A, customers!$C:$C,,0))</f>
        <v>ocomberob@goo.gl</v>
      </c>
      <c r="H878" s="2" t="str">
        <f>_xlfn.XLOOKUP(C878, customers!$A:$A, customers!$G:$G,,0)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f>INDEX(products!$A$1:$G$49,MATCH(orders!$D878,products!$A$1:$A$49,0),MATCH(orders!L$1,products!$A$1:$G$1,0))</f>
        <v>7.77</v>
      </c>
      <c r="M878">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cm="1">
        <f t="array" ref="F879">_xlfn.XLOOKUP(C879,customers!$A$1:$A1878,customers!$B$1:$B1878,,0)</f>
        <v>Zachary Tramel</v>
      </c>
      <c r="G879" s="2" t="str">
        <f>IF(_xlfn.XLOOKUP(C879, customers!$A:$A, customers!$C:$C,,0)=0, "", _xlfn.XLOOKUP(C879, customers!$A:$A, customers!$C:$C,,0))</f>
        <v>ztramelod@netlog.com</v>
      </c>
      <c r="H879" s="2" t="str">
        <f>_xlfn.XLOOKUP(C879, customers!$A:$A, customers!$G:$G,,0)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f>INDEX(products!$A$1:$G$49,MATCH(orders!$D879,products!$A$1:$A$49,0),MATCH(orders!L$1,products!$A$1:$G$1,0))</f>
        <v>9.51</v>
      </c>
      <c r="M879">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cm="1">
        <f t="array" ref="F880">_xlfn.XLOOKUP(C880,customers!$A$1:$A1879,customers!$B$1:$B1879,,0)</f>
        <v>Izaak Primak</v>
      </c>
      <c r="G880" s="2" t="str">
        <f>IF(_xlfn.XLOOKUP(C880, customers!$A:$A, customers!$C:$C,,0)=0, "", _xlfn.XLOOKUP(C880, customers!$A:$A, customers!$C:$C,,0))</f>
        <v/>
      </c>
      <c r="H880" s="2" t="str">
        <f>_xlfn.XLOOKUP(C880, customers!$A:$A, customers!$G:$G,,0)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f>INDEX(products!$A$1:$G$49,MATCH(orders!$D880,products!$A$1:$A$49,0),MATCH(orders!L$1,products!$A$1:$G$1,0))</f>
        <v>27.484999999999996</v>
      </c>
      <c r="M880">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cm="1">
        <f t="array" ref="F881">_xlfn.XLOOKUP(C881,customers!$A$1:$A1880,customers!$B$1:$B1880,,0)</f>
        <v>Brittani Thoresbie</v>
      </c>
      <c r="G881" s="2" t="str">
        <f>IF(_xlfn.XLOOKUP(C881, customers!$A:$A, customers!$C:$C,,0)=0, "", _xlfn.XLOOKUP(C881, customers!$A:$A, customers!$C:$C,,0))</f>
        <v/>
      </c>
      <c r="H881" s="2" t="str">
        <f>_xlfn.XLOOKUP(C881, customers!$A:$A, customers!$G:$G,,0)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f>INDEX(products!$A$1:$G$49,MATCH(orders!$D881,products!$A$1:$A$49,0),MATCH(orders!L$1,products!$A$1:$G$1,0))</f>
        <v>3.645</v>
      </c>
      <c r="M881">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cm="1">
        <f t="array" ref="F882">_xlfn.XLOOKUP(C882,customers!$A$1:$A1881,customers!$B$1:$B1881,,0)</f>
        <v>Constanta Hatfull</v>
      </c>
      <c r="G882" s="2" t="str">
        <f>IF(_xlfn.XLOOKUP(C882, customers!$A:$A, customers!$C:$C,,0)=0, "", _xlfn.XLOOKUP(C882, customers!$A:$A, customers!$C:$C,,0))</f>
        <v>chatfullog@ebay.com</v>
      </c>
      <c r="H882" s="2" t="str">
        <f>_xlfn.XLOOKUP(C882, customers!$A:$A, customers!$G:$G,,0)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f>INDEX(products!$A$1:$G$49,MATCH(orders!$D882,products!$A$1:$A$49,0),MATCH(orders!L$1,products!$A$1:$G$1,0))</f>
        <v>3.5849999999999995</v>
      </c>
      <c r="M882">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cm="1">
        <f t="array" ref="F883">_xlfn.XLOOKUP(C883,customers!$A$1:$A1882,customers!$B$1:$B1882,,0)</f>
        <v>Bobbe Castagneto</v>
      </c>
      <c r="G883" s="2" t="str">
        <f>IF(_xlfn.XLOOKUP(C883, customers!$A:$A, customers!$C:$C,,0)=0, "", _xlfn.XLOOKUP(C883, customers!$A:$A, customers!$C:$C,,0))</f>
        <v/>
      </c>
      <c r="H883" s="2" t="str">
        <f>_xlfn.XLOOKUP(C883, customers!$A:$A, customers!$G:$G,,0)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f>INDEX(products!$A$1:$G$49,MATCH(orders!$D883,products!$A$1:$A$49,0),MATCH(orders!L$1,products!$A$1:$G$1,0))</f>
        <v>3.8849999999999998</v>
      </c>
      <c r="M883">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cm="1">
        <f t="array" ref="F884">_xlfn.XLOOKUP(C884,customers!$A$1:$A1883,customers!$B$1:$B1883,,0)</f>
        <v>Kippie Marrison</v>
      </c>
      <c r="G884" s="2" t="str">
        <f>IF(_xlfn.XLOOKUP(C884, customers!$A:$A, customers!$C:$C,,0)=0, "", _xlfn.XLOOKUP(C884, customers!$A:$A, customers!$C:$C,,0))</f>
        <v>kmarrisonoq@dropbox.com</v>
      </c>
      <c r="H884" s="2" t="str">
        <f>_xlfn.XLOOKUP(C884, customers!$A:$A, customers!$G:$G,,0)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f>INDEX(products!$A$1:$G$49,MATCH(orders!$D884,products!$A$1:$A$49,0),MATCH(orders!L$1,products!$A$1:$G$1,0))</f>
        <v>22.884999999999998</v>
      </c>
      <c r="M884">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cm="1">
        <f t="array" ref="F885">_xlfn.XLOOKUP(C885,customers!$A$1:$A1884,customers!$B$1:$B1884,,0)</f>
        <v>Lindon Agnolo</v>
      </c>
      <c r="G885" s="2" t="str">
        <f>IF(_xlfn.XLOOKUP(C885, customers!$A:$A, customers!$C:$C,,0)=0, "", _xlfn.XLOOKUP(C885, customers!$A:$A, customers!$C:$C,,0))</f>
        <v>lagnolooj@pinterest.com</v>
      </c>
      <c r="H885" s="2" t="str">
        <f>_xlfn.XLOOKUP(C885, customers!$A:$A, customers!$G:$G,,0)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f>INDEX(products!$A$1:$G$49,MATCH(orders!$D885,products!$A$1:$A$49,0),MATCH(orders!L$1,products!$A$1:$G$1,0))</f>
        <v>25.874999999999996</v>
      </c>
      <c r="M88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cm="1">
        <f t="array" ref="F886">_xlfn.XLOOKUP(C886,customers!$A$1:$A1885,customers!$B$1:$B1885,,0)</f>
        <v>Delainey Kiddy</v>
      </c>
      <c r="G886" s="2" t="str">
        <f>IF(_xlfn.XLOOKUP(C886, customers!$A:$A, customers!$C:$C,,0)=0, "", _xlfn.XLOOKUP(C886, customers!$A:$A, customers!$C:$C,,0))</f>
        <v>dkiddyok@fda.gov</v>
      </c>
      <c r="H886" s="2" t="str">
        <f>_xlfn.XLOOKUP(C886, customers!$A:$A, customers!$G:$G,,0)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f>INDEX(products!$A$1:$G$49,MATCH(orders!$D886,products!$A$1:$A$49,0),MATCH(orders!L$1,products!$A$1:$G$1,0))</f>
        <v>5.3699999999999992</v>
      </c>
      <c r="M886">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cm="1">
        <f t="array" ref="F887">_xlfn.XLOOKUP(C887,customers!$A$1:$A1886,customers!$B$1:$B1886,,0)</f>
        <v>Helli Petroulis</v>
      </c>
      <c r="G887" s="2" t="str">
        <f>IF(_xlfn.XLOOKUP(C887, customers!$A:$A, customers!$C:$C,,0)=0, "", _xlfn.XLOOKUP(C887, customers!$A:$A, customers!$C:$C,,0))</f>
        <v>hpetroulisol@state.tx.us</v>
      </c>
      <c r="H887" s="2" t="str">
        <f>_xlfn.XLOOKUP(C887, customers!$A:$A, customers!$G:$G,,0)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f>INDEX(products!$A$1:$G$49,MATCH(orders!$D887,products!$A$1:$A$49,0),MATCH(orders!L$1,products!$A$1:$G$1,0))</f>
        <v>20.584999999999997</v>
      </c>
      <c r="M887">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cm="1">
        <f t="array" ref="F888">_xlfn.XLOOKUP(C888,customers!$A$1:$A1887,customers!$B$1:$B1887,,0)</f>
        <v>Marty Scholl</v>
      </c>
      <c r="G888" s="2" t="str">
        <f>IF(_xlfn.XLOOKUP(C888, customers!$A:$A, customers!$C:$C,,0)=0, "", _xlfn.XLOOKUP(C888, customers!$A:$A, customers!$C:$C,,0))</f>
        <v>mschollom@taobao.com</v>
      </c>
      <c r="H888" s="2" t="str">
        <f>_xlfn.XLOOKUP(C888, customers!$A:$A, customers!$G:$G,,0)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f>INDEX(products!$A$1:$G$49,MATCH(orders!$D888,products!$A$1:$A$49,0),MATCH(orders!L$1,products!$A$1:$G$1,0))</f>
        <v>8.73</v>
      </c>
      <c r="M888">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cm="1">
        <f t="array" ref="F889">_xlfn.XLOOKUP(C889,customers!$A$1:$A1888,customers!$B$1:$B1888,,0)</f>
        <v>Kienan Ferson</v>
      </c>
      <c r="G889" s="2" t="str">
        <f>IF(_xlfn.XLOOKUP(C889, customers!$A:$A, customers!$C:$C,,0)=0, "", _xlfn.XLOOKUP(C889, customers!$A:$A, customers!$C:$C,,0))</f>
        <v>kfersonon@g.co</v>
      </c>
      <c r="H889" s="2" t="str">
        <f>_xlfn.XLOOKUP(C889, customers!$A:$A, customers!$G:$G,,0)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f>INDEX(products!$A$1:$G$49,MATCH(orders!$D889,products!$A$1:$A$49,0),MATCH(orders!L$1,products!$A$1:$G$1,0))</f>
        <v>4.4550000000000001</v>
      </c>
      <c r="M889">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cm="1">
        <f t="array" ref="F890">_xlfn.XLOOKUP(C890,customers!$A$1:$A1889,customers!$B$1:$B1889,,0)</f>
        <v>Blake Kelloway</v>
      </c>
      <c r="G890" s="2" t="str">
        <f>IF(_xlfn.XLOOKUP(C890, customers!$A:$A, customers!$C:$C,,0)=0, "", _xlfn.XLOOKUP(C890, customers!$A:$A, customers!$C:$C,,0))</f>
        <v>bkellowayoo@omniture.com</v>
      </c>
      <c r="H890" s="2" t="str">
        <f>_xlfn.XLOOKUP(C890, customers!$A:$A, customers!$G:$G,,0)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f>INDEX(products!$A$1:$G$49,MATCH(orders!$D890,products!$A$1:$A$49,0),MATCH(orders!L$1,products!$A$1:$G$1,0))</f>
        <v>3.8849999999999998</v>
      </c>
      <c r="M890">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cm="1">
        <f t="array" ref="F891">_xlfn.XLOOKUP(C891,customers!$A$1:$A1890,customers!$B$1:$B1890,,0)</f>
        <v>Scarlett Oliffe</v>
      </c>
      <c r="G891" s="2" t="str">
        <f>IF(_xlfn.XLOOKUP(C891, customers!$A:$A, customers!$C:$C,,0)=0, "", _xlfn.XLOOKUP(C891, customers!$A:$A, customers!$C:$C,,0))</f>
        <v>soliffeop@yellowbook.com</v>
      </c>
      <c r="H891" s="2" t="str">
        <f>_xlfn.XLOOKUP(C891, customers!$A:$A, customers!$G:$G,,0)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f>INDEX(products!$A$1:$G$49,MATCH(orders!$D891,products!$A$1:$A$49,0),MATCH(orders!L$1,products!$A$1:$G$1,0))</f>
        <v>2.6849999999999996</v>
      </c>
      <c r="M891">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cm="1">
        <f t="array" ref="F892">_xlfn.XLOOKUP(C892,customers!$A$1:$A1891,customers!$B$1:$B1891,,0)</f>
        <v>Kippie Marrison</v>
      </c>
      <c r="G892" s="2" t="str">
        <f>IF(_xlfn.XLOOKUP(C892, customers!$A:$A, customers!$C:$C,,0)=0, "", _xlfn.XLOOKUP(C892, customers!$A:$A, customers!$C:$C,,0))</f>
        <v>kmarrisonoq@dropbox.com</v>
      </c>
      <c r="H892" s="2" t="str">
        <f>_xlfn.XLOOKUP(C892, customers!$A:$A, customers!$G:$G,,0)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f>INDEX(products!$A$1:$G$49,MATCH(orders!$D892,products!$A$1:$A$49,0),MATCH(orders!L$1,products!$A$1:$G$1,0))</f>
        <v>20.584999999999997</v>
      </c>
      <c r="M892">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cm="1">
        <f t="array" ref="F893">_xlfn.XLOOKUP(C893,customers!$A$1:$A1892,customers!$B$1:$B1892,,0)</f>
        <v>Celestia Dolohunty</v>
      </c>
      <c r="G893" s="2" t="str">
        <f>IF(_xlfn.XLOOKUP(C893, customers!$A:$A, customers!$C:$C,,0)=0, "", _xlfn.XLOOKUP(C893, customers!$A:$A, customers!$C:$C,,0))</f>
        <v>cdolohuntyor@dailymail.co.uk</v>
      </c>
      <c r="H893" s="2" t="str">
        <f>_xlfn.XLOOKUP(C893, customers!$A:$A, customers!$G:$G,,0)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f>INDEX(products!$A$1:$G$49,MATCH(orders!$D893,products!$A$1:$A$49,0),MATCH(orders!L$1,products!$A$1:$G$1,0))</f>
        <v>22.884999999999998</v>
      </c>
      <c r="M893">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cm="1">
        <f t="array" ref="F894">_xlfn.XLOOKUP(C894,customers!$A$1:$A1893,customers!$B$1:$B1893,,0)</f>
        <v>Patsy Vasilenko</v>
      </c>
      <c r="G894" s="2" t="str">
        <f>IF(_xlfn.XLOOKUP(C894, customers!$A:$A, customers!$C:$C,,0)=0, "", _xlfn.XLOOKUP(C894, customers!$A:$A, customers!$C:$C,,0))</f>
        <v>pvasilenkoos@addtoany.com</v>
      </c>
      <c r="H894" s="2" t="str">
        <f>_xlfn.XLOOKUP(C894, customers!$A:$A, customers!$G:$G,,0)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f>INDEX(products!$A$1:$G$49,MATCH(orders!$D894,products!$A$1:$A$49,0),MATCH(orders!L$1,products!$A$1:$G$1,0))</f>
        <v>4.125</v>
      </c>
      <c r="M894">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cm="1">
        <f t="array" ref="F895">_xlfn.XLOOKUP(C895,customers!$A$1:$A1894,customers!$B$1:$B1894,,0)</f>
        <v>Raphaela Schankelborg</v>
      </c>
      <c r="G895" s="2" t="str">
        <f>IF(_xlfn.XLOOKUP(C895, customers!$A:$A, customers!$C:$C,,0)=0, "", _xlfn.XLOOKUP(C895, customers!$A:$A, customers!$C:$C,,0))</f>
        <v>rschankelborgot@ameblo.jp</v>
      </c>
      <c r="H895" s="2" t="str">
        <f>_xlfn.XLOOKUP(C895, customers!$A:$A, customers!$G:$G,,0)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f>INDEX(products!$A$1:$G$49,MATCH(orders!$D895,products!$A$1:$A$49,0),MATCH(orders!L$1,products!$A$1:$G$1,0))</f>
        <v>9.51</v>
      </c>
      <c r="M89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cm="1">
        <f t="array" ref="F896">_xlfn.XLOOKUP(C896,customers!$A$1:$A1895,customers!$B$1:$B1895,,0)</f>
        <v>Sharity Wickens</v>
      </c>
      <c r="G896" s="2" t="str">
        <f>IF(_xlfn.XLOOKUP(C896, customers!$A:$A, customers!$C:$C,,0)=0, "", _xlfn.XLOOKUP(C896, customers!$A:$A, customers!$C:$C,,0))</f>
        <v/>
      </c>
      <c r="H896" s="2" t="str">
        <f>_xlfn.XLOOKUP(C896, customers!$A:$A, customers!$G:$G,,0)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f>INDEX(products!$A$1:$G$49,MATCH(orders!$D896,products!$A$1:$A$49,0),MATCH(orders!L$1,products!$A$1:$G$1,0))</f>
        <v>20.584999999999997</v>
      </c>
      <c r="M896">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cm="1">
        <f t="array" ref="F897">_xlfn.XLOOKUP(C897,customers!$A$1:$A1896,customers!$B$1:$B1896,,0)</f>
        <v>Derick Snow</v>
      </c>
      <c r="G897" s="2" t="str">
        <f>IF(_xlfn.XLOOKUP(C897, customers!$A:$A, customers!$C:$C,,0)=0, "", _xlfn.XLOOKUP(C897, customers!$A:$A, customers!$C:$C,,0))</f>
        <v/>
      </c>
      <c r="H897" s="2" t="str">
        <f>_xlfn.XLOOKUP(C897, customers!$A:$A, customers!$G:$G,,0)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f>INDEX(products!$A$1:$G$49,MATCH(orders!$D897,products!$A$1:$A$49,0),MATCH(orders!L$1,products!$A$1:$G$1,0))</f>
        <v>31.624999999999996</v>
      </c>
      <c r="M897">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cm="1">
        <f t="array" ref="F898">_xlfn.XLOOKUP(C898,customers!$A$1:$A1897,customers!$B$1:$B1897,,0)</f>
        <v>Baxy Cargen</v>
      </c>
      <c r="G898" s="2" t="str">
        <f>IF(_xlfn.XLOOKUP(C898, customers!$A:$A, customers!$C:$C,,0)=0, "", _xlfn.XLOOKUP(C898, customers!$A:$A, customers!$C:$C,,0))</f>
        <v>bcargenow@geocities.jp</v>
      </c>
      <c r="H898" s="2" t="str">
        <f>_xlfn.XLOOKUP(C898, customers!$A:$A, customers!$G:$G,,0)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f>INDEX(products!$A$1:$G$49,MATCH(orders!$D898,products!$A$1:$A$49,0),MATCH(orders!L$1,products!$A$1:$G$1,0))</f>
        <v>5.3699999999999992</v>
      </c>
      <c r="M898">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cm="1">
        <f t="array" ref="F899">_xlfn.XLOOKUP(C899,customers!$A$1:$A1898,customers!$B$1:$B1898,,0)</f>
        <v>Ryann Stickler</v>
      </c>
      <c r="G899" s="2" t="str">
        <f>IF(_xlfn.XLOOKUP(C899, customers!$A:$A, customers!$C:$C,,0)=0, "", _xlfn.XLOOKUP(C899, customers!$A:$A, customers!$C:$C,,0))</f>
        <v>rsticklerox@printfriendly.com</v>
      </c>
      <c r="H899" s="2" t="str">
        <f>_xlfn.XLOOKUP(C899, customers!$A:$A, customers!$G:$G,,0)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f>INDEX(products!$A$1:$G$49,MATCH(orders!$D899,products!$A$1:$A$49,0),MATCH(orders!L$1,products!$A$1:$G$1,0))</f>
        <v>12.15</v>
      </c>
      <c r="M899">
        <f t="shared" ref="M899:M962" si="42">L899*E899</f>
        <v>24.3</v>
      </c>
      <c r="N899" t="str">
        <f t="shared" ref="N899:N962" si="43">IF(I899="Rob", "Robusta", IF(I899="Exc","Excelsa",IF(I899="Ara","Arabica", 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cm="1">
        <f t="array" ref="F900">_xlfn.XLOOKUP(C900,customers!$A$1:$A1899,customers!$B$1:$B1899,,0)</f>
        <v>Daryn Cassius</v>
      </c>
      <c r="G900" s="2" t="str">
        <f>IF(_xlfn.XLOOKUP(C900, customers!$A:$A, customers!$C:$C,,0)=0, "", _xlfn.XLOOKUP(C900, customers!$A:$A, customers!$C:$C,,0))</f>
        <v/>
      </c>
      <c r="H900" s="2" t="str">
        <f>_xlfn.XLOOKUP(C900, customers!$A:$A, customers!$G:$G,,0)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f>INDEX(products!$A$1:$G$49,MATCH(orders!$D900,products!$A$1:$A$49,0),MATCH(orders!L$1,products!$A$1:$G$1,0))</f>
        <v>7.169999999999999</v>
      </c>
      <c r="M900">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cm="1">
        <f t="array" ref="F901">_xlfn.XLOOKUP(C901,customers!$A$1:$A1900,customers!$B$1:$B1900,,0)</f>
        <v>Derick Snow</v>
      </c>
      <c r="G901" s="2" t="str">
        <f>IF(_xlfn.XLOOKUP(C901, customers!$A:$A, customers!$C:$C,,0)=0, "", _xlfn.XLOOKUP(C901, customers!$A:$A, customers!$C:$C,,0))</f>
        <v/>
      </c>
      <c r="H901" s="2" t="str">
        <f>_xlfn.XLOOKUP(C901, customers!$A:$A, customers!$G:$G,,0)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f>INDEX(products!$A$1:$G$49,MATCH(orders!$D901,products!$A$1:$A$49,0),MATCH(orders!L$1,products!$A$1:$G$1,0))</f>
        <v>14.55</v>
      </c>
      <c r="M901">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cm="1">
        <f t="array" ref="F902">_xlfn.XLOOKUP(C902,customers!$A$1:$A1901,customers!$B$1:$B1901,,0)</f>
        <v>Skelly Dolohunty</v>
      </c>
      <c r="G902" s="2" t="str">
        <f>IF(_xlfn.XLOOKUP(C902, customers!$A:$A, customers!$C:$C,,0)=0, "", _xlfn.XLOOKUP(C902, customers!$A:$A, customers!$C:$C,,0))</f>
        <v/>
      </c>
      <c r="H902" s="2" t="str">
        <f>_xlfn.XLOOKUP(C902, customers!$A:$A, customers!$G:$G,,0)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f>INDEX(products!$A$1:$G$49,MATCH(orders!$D902,products!$A$1:$A$49,0),MATCH(orders!L$1,products!$A$1:$G$1,0))</f>
        <v>15.85</v>
      </c>
      <c r="M902">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cm="1">
        <f t="array" ref="F903">_xlfn.XLOOKUP(C903,customers!$A$1:$A1902,customers!$B$1:$B1902,,0)</f>
        <v>Drake Jevon</v>
      </c>
      <c r="G903" s="2" t="str">
        <f>IF(_xlfn.XLOOKUP(C903, customers!$A:$A, customers!$C:$C,,0)=0, "", _xlfn.XLOOKUP(C903, customers!$A:$A, customers!$C:$C,,0))</f>
        <v>djevonp1@ibm.com</v>
      </c>
      <c r="H903" s="2" t="str">
        <f>_xlfn.XLOOKUP(C903, customers!$A:$A, customers!$G:$G,,0)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f>INDEX(products!$A$1:$G$49,MATCH(orders!$D903,products!$A$1:$A$49,0),MATCH(orders!L$1,products!$A$1:$G$1,0))</f>
        <v>3.5849999999999995</v>
      </c>
      <c r="M903">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cm="1">
        <f t="array" ref="F904">_xlfn.XLOOKUP(C904,customers!$A$1:$A1903,customers!$B$1:$B1903,,0)</f>
        <v>Hall Ranner</v>
      </c>
      <c r="G904" s="2" t="str">
        <f>IF(_xlfn.XLOOKUP(C904, customers!$A:$A, customers!$C:$C,,0)=0, "", _xlfn.XLOOKUP(C904, customers!$A:$A, customers!$C:$C,,0))</f>
        <v>hrannerp2@omniture.com</v>
      </c>
      <c r="H904" s="2" t="str">
        <f>_xlfn.XLOOKUP(C904, customers!$A:$A, customers!$G:$G,,0)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f>INDEX(products!$A$1:$G$49,MATCH(orders!$D904,products!$A$1:$A$49,0),MATCH(orders!L$1,products!$A$1:$G$1,0))</f>
        <v>31.624999999999996</v>
      </c>
      <c r="M904">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cm="1">
        <f t="array" ref="F905">_xlfn.XLOOKUP(C905,customers!$A$1:$A1904,customers!$B$1:$B1904,,0)</f>
        <v>Berkly Imrie</v>
      </c>
      <c r="G905" s="2" t="str">
        <f>IF(_xlfn.XLOOKUP(C905, customers!$A:$A, customers!$C:$C,,0)=0, "", _xlfn.XLOOKUP(C905, customers!$A:$A, customers!$C:$C,,0))</f>
        <v>bimriep3@addtoany.com</v>
      </c>
      <c r="H905" s="2" t="str">
        <f>_xlfn.XLOOKUP(C905, customers!$A:$A, customers!$G:$G,,0)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f>INDEX(products!$A$1:$G$49,MATCH(orders!$D905,products!$A$1:$A$49,0),MATCH(orders!L$1,products!$A$1:$G$1,0))</f>
        <v>8.73</v>
      </c>
      <c r="M90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cm="1">
        <f t="array" ref="F906">_xlfn.XLOOKUP(C906,customers!$A$1:$A1905,customers!$B$1:$B1905,,0)</f>
        <v>Dorey Sopper</v>
      </c>
      <c r="G906" s="2" t="str">
        <f>IF(_xlfn.XLOOKUP(C906, customers!$A:$A, customers!$C:$C,,0)=0, "", _xlfn.XLOOKUP(C906, customers!$A:$A, customers!$C:$C,,0))</f>
        <v>dsopperp4@eventbrite.com</v>
      </c>
      <c r="H906" s="2" t="str">
        <f>_xlfn.XLOOKUP(C906, customers!$A:$A, customers!$G:$G,,0)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f>INDEX(products!$A$1:$G$49,MATCH(orders!$D906,products!$A$1:$A$49,0),MATCH(orders!L$1,products!$A$1:$G$1,0))</f>
        <v>29.784999999999997</v>
      </c>
      <c r="M906">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cm="1">
        <f t="array" ref="F907">_xlfn.XLOOKUP(C907,customers!$A$1:$A1906,customers!$B$1:$B1906,,0)</f>
        <v>Darcy Lochran</v>
      </c>
      <c r="G907" s="2" t="str">
        <f>IF(_xlfn.XLOOKUP(C907, customers!$A:$A, customers!$C:$C,,0)=0, "", _xlfn.XLOOKUP(C907, customers!$A:$A, customers!$C:$C,,0))</f>
        <v/>
      </c>
      <c r="H907" s="2" t="str">
        <f>_xlfn.XLOOKUP(C907, customers!$A:$A, customers!$G:$G,,0)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f>INDEX(products!$A$1:$G$49,MATCH(orders!$D907,products!$A$1:$A$49,0),MATCH(orders!L$1,products!$A$1:$G$1,0))</f>
        <v>6.75</v>
      </c>
      <c r="M907">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cm="1">
        <f t="array" ref="F908">_xlfn.XLOOKUP(C908,customers!$A$1:$A1907,customers!$B$1:$B1907,,0)</f>
        <v>Lauritz Ledgley</v>
      </c>
      <c r="G908" s="2" t="str">
        <f>IF(_xlfn.XLOOKUP(C908, customers!$A:$A, customers!$C:$C,,0)=0, "", _xlfn.XLOOKUP(C908, customers!$A:$A, customers!$C:$C,,0))</f>
        <v>lledgleyp6@de.vu</v>
      </c>
      <c r="H908" s="2" t="str">
        <f>_xlfn.XLOOKUP(C908, customers!$A:$A, customers!$G:$G,,0)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f>INDEX(products!$A$1:$G$49,MATCH(orders!$D908,products!$A$1:$A$49,0),MATCH(orders!L$1,products!$A$1:$G$1,0))</f>
        <v>6.75</v>
      </c>
      <c r="M908">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cm="1">
        <f t="array" ref="F909">_xlfn.XLOOKUP(C909,customers!$A$1:$A1908,customers!$B$1:$B1908,,0)</f>
        <v>Tawnya Menary</v>
      </c>
      <c r="G909" s="2" t="str">
        <f>IF(_xlfn.XLOOKUP(C909, customers!$A:$A, customers!$C:$C,,0)=0, "", _xlfn.XLOOKUP(C909, customers!$A:$A, customers!$C:$C,,0))</f>
        <v>tmenaryp7@phoca.cz</v>
      </c>
      <c r="H909" s="2" t="str">
        <f>_xlfn.XLOOKUP(C909, customers!$A:$A, customers!$G:$G,,0)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f>INDEX(products!$A$1:$G$49,MATCH(orders!$D909,products!$A$1:$A$49,0),MATCH(orders!L$1,products!$A$1:$G$1,0))</f>
        <v>12.95</v>
      </c>
      <c r="M909">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cm="1">
        <f t="array" ref="F910">_xlfn.XLOOKUP(C910,customers!$A$1:$A1909,customers!$B$1:$B1909,,0)</f>
        <v>Gustaf Ciccotti</v>
      </c>
      <c r="G910" s="2" t="str">
        <f>IF(_xlfn.XLOOKUP(C910, customers!$A:$A, customers!$C:$C,,0)=0, "", _xlfn.XLOOKUP(C910, customers!$A:$A, customers!$C:$C,,0))</f>
        <v>gciccottip8@so-net.ne.jp</v>
      </c>
      <c r="H910" s="2" t="str">
        <f>_xlfn.XLOOKUP(C910, customers!$A:$A, customers!$G:$G,,0)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f>INDEX(products!$A$1:$G$49,MATCH(orders!$D910,products!$A$1:$A$49,0),MATCH(orders!L$1,products!$A$1:$G$1,0))</f>
        <v>11.95</v>
      </c>
      <c r="M910">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cm="1">
        <f t="array" ref="F911">_xlfn.XLOOKUP(C911,customers!$A$1:$A1910,customers!$B$1:$B1910,,0)</f>
        <v>Bobbe Renner</v>
      </c>
      <c r="G911" s="2" t="str">
        <f>IF(_xlfn.XLOOKUP(C911, customers!$A:$A, customers!$C:$C,,0)=0, "", _xlfn.XLOOKUP(C911, customers!$A:$A, customers!$C:$C,,0))</f>
        <v/>
      </c>
      <c r="H911" s="2" t="str">
        <f>_xlfn.XLOOKUP(C911, customers!$A:$A, customers!$G:$G,,0)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f>INDEX(products!$A$1:$G$49,MATCH(orders!$D911,products!$A$1:$A$49,0),MATCH(orders!L$1,products!$A$1:$G$1,0))</f>
        <v>3.5849999999999995</v>
      </c>
      <c r="M911">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cm="1">
        <f t="array" ref="F912">_xlfn.XLOOKUP(C912,customers!$A$1:$A1911,customers!$B$1:$B1911,,0)</f>
        <v>Wilton Jallin</v>
      </c>
      <c r="G912" s="2" t="str">
        <f>IF(_xlfn.XLOOKUP(C912, customers!$A:$A, customers!$C:$C,,0)=0, "", _xlfn.XLOOKUP(C912, customers!$A:$A, customers!$C:$C,,0))</f>
        <v>wjallinpa@pcworld.com</v>
      </c>
      <c r="H912" s="2" t="str">
        <f>_xlfn.XLOOKUP(C912, customers!$A:$A, customers!$G:$G,,0)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f>INDEX(products!$A$1:$G$49,MATCH(orders!$D912,products!$A$1:$A$49,0),MATCH(orders!L$1,products!$A$1:$G$1,0))</f>
        <v>22.884999999999998</v>
      </c>
      <c r="M912">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cm="1">
        <f t="array" ref="F913">_xlfn.XLOOKUP(C913,customers!$A$1:$A1912,customers!$B$1:$B1912,,0)</f>
        <v>Mindy Bogey</v>
      </c>
      <c r="G913" s="2" t="str">
        <f>IF(_xlfn.XLOOKUP(C913, customers!$A:$A, customers!$C:$C,,0)=0, "", _xlfn.XLOOKUP(C913, customers!$A:$A, customers!$C:$C,,0))</f>
        <v>mbogeypb@thetimes.co.uk</v>
      </c>
      <c r="H913" s="2" t="str">
        <f>_xlfn.XLOOKUP(C913, customers!$A:$A, customers!$G:$G,,0)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f>INDEX(products!$A$1:$G$49,MATCH(orders!$D913,products!$A$1:$A$49,0),MATCH(orders!L$1,products!$A$1:$G$1,0))</f>
        <v>11.25</v>
      </c>
      <c r="M913">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cm="1">
        <f t="array" ref="F914">_xlfn.XLOOKUP(C914,customers!$A$1:$A1913,customers!$B$1:$B1913,,0)</f>
        <v>Paulie Fonzone</v>
      </c>
      <c r="G914" s="2" t="str">
        <f>IF(_xlfn.XLOOKUP(C914, customers!$A:$A, customers!$C:$C,,0)=0, "", _xlfn.XLOOKUP(C914, customers!$A:$A, customers!$C:$C,,0))</f>
        <v/>
      </c>
      <c r="H914" s="2" t="str">
        <f>_xlfn.XLOOKUP(C914, customers!$A:$A, customers!$G:$G,,0)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f>INDEX(products!$A$1:$G$49,MATCH(orders!$D914,products!$A$1:$A$49,0),MATCH(orders!L$1,products!$A$1:$G$1,0))</f>
        <v>22.884999999999998</v>
      </c>
      <c r="M914">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cm="1">
        <f t="array" ref="F915">_xlfn.XLOOKUP(C915,customers!$A$1:$A1914,customers!$B$1:$B1914,,0)</f>
        <v>Merrile Cobbledick</v>
      </c>
      <c r="G915" s="2" t="str">
        <f>IF(_xlfn.XLOOKUP(C915, customers!$A:$A, customers!$C:$C,,0)=0, "", _xlfn.XLOOKUP(C915, customers!$A:$A, customers!$C:$C,,0))</f>
        <v>mcobbledickpd@ucsd.edu</v>
      </c>
      <c r="H915" s="2" t="str">
        <f>_xlfn.XLOOKUP(C915, customers!$A:$A, customers!$G:$G,,0)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f>INDEX(products!$A$1:$G$49,MATCH(orders!$D915,products!$A$1:$A$49,0),MATCH(orders!L$1,products!$A$1:$G$1,0))</f>
        <v>6.75</v>
      </c>
      <c r="M91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cm="1">
        <f t="array" ref="F916">_xlfn.XLOOKUP(C916,customers!$A$1:$A1915,customers!$B$1:$B1915,,0)</f>
        <v>Antonius Lewry</v>
      </c>
      <c r="G916" s="2" t="str">
        <f>IF(_xlfn.XLOOKUP(C916, customers!$A:$A, customers!$C:$C,,0)=0, "", _xlfn.XLOOKUP(C916, customers!$A:$A, customers!$C:$C,,0))</f>
        <v>alewrype@whitehouse.gov</v>
      </c>
      <c r="H916" s="2" t="str">
        <f>_xlfn.XLOOKUP(C916, customers!$A:$A, customers!$G:$G,,0)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f>INDEX(products!$A$1:$G$49,MATCH(orders!$D916,products!$A$1:$A$49,0),MATCH(orders!L$1,products!$A$1:$G$1,0))</f>
        <v>11.25</v>
      </c>
      <c r="M916">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cm="1">
        <f t="array" ref="F917">_xlfn.XLOOKUP(C917,customers!$A$1:$A1916,customers!$B$1:$B1916,,0)</f>
        <v>Isis Hessel</v>
      </c>
      <c r="G917" s="2" t="str">
        <f>IF(_xlfn.XLOOKUP(C917, customers!$A:$A, customers!$C:$C,,0)=0, "", _xlfn.XLOOKUP(C917, customers!$A:$A, customers!$C:$C,,0))</f>
        <v>ihesselpf@ox.ac.uk</v>
      </c>
      <c r="H917" s="2" t="str">
        <f>_xlfn.XLOOKUP(C917, customers!$A:$A, customers!$G:$G,,0)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f>INDEX(products!$A$1:$G$49,MATCH(orders!$D917,products!$A$1:$A$49,0),MATCH(orders!L$1,products!$A$1:$G$1,0))</f>
        <v>27.945</v>
      </c>
      <c r="M917">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cm="1">
        <f t="array" ref="F918">_xlfn.XLOOKUP(C918,customers!$A$1:$A1917,customers!$B$1:$B1917,,0)</f>
        <v>Harland Trematick</v>
      </c>
      <c r="G918" s="2" t="str">
        <f>IF(_xlfn.XLOOKUP(C918, customers!$A:$A, customers!$C:$C,,0)=0, "", _xlfn.XLOOKUP(C918, customers!$A:$A, customers!$C:$C,,0))</f>
        <v/>
      </c>
      <c r="H918" s="2" t="str">
        <f>_xlfn.XLOOKUP(C918, customers!$A:$A, customers!$G:$G,,0)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f>INDEX(products!$A$1:$G$49,MATCH(orders!$D918,products!$A$1:$A$49,0),MATCH(orders!L$1,products!$A$1:$G$1,0))</f>
        <v>3.645</v>
      </c>
      <c r="M918">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cm="1">
        <f t="array" ref="F919">_xlfn.XLOOKUP(C919,customers!$A$1:$A1918,customers!$B$1:$B1918,,0)</f>
        <v>Chloris Sorrell</v>
      </c>
      <c r="G919" s="2" t="str">
        <f>IF(_xlfn.XLOOKUP(C919, customers!$A:$A, customers!$C:$C,,0)=0, "", _xlfn.XLOOKUP(C919, customers!$A:$A, customers!$C:$C,,0))</f>
        <v>csorrellph@amazon.com</v>
      </c>
      <c r="H919" s="2" t="str">
        <f>_xlfn.XLOOKUP(C919, customers!$A:$A, customers!$G:$G,,0)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f>INDEX(products!$A$1:$G$49,MATCH(orders!$D919,products!$A$1:$A$49,0),MATCH(orders!L$1,products!$A$1:$G$1,0))</f>
        <v>6.75</v>
      </c>
      <c r="M919">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cm="1">
        <f t="array" ref="F920">_xlfn.XLOOKUP(C920,customers!$A$1:$A1919,customers!$B$1:$B1919,,0)</f>
        <v>Chloris Sorrell</v>
      </c>
      <c r="G920" s="2" t="str">
        <f>IF(_xlfn.XLOOKUP(C920, customers!$A:$A, customers!$C:$C,,0)=0, "", _xlfn.XLOOKUP(C920, customers!$A:$A, customers!$C:$C,,0))</f>
        <v>csorrellph@amazon.com</v>
      </c>
      <c r="H920" s="2" t="str">
        <f>_xlfn.XLOOKUP(C920, customers!$A:$A, customers!$G:$G,,0)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f>INDEX(products!$A$1:$G$49,MATCH(orders!$D920,products!$A$1:$A$49,0),MATCH(orders!L$1,products!$A$1:$G$1,0))</f>
        <v>7.29</v>
      </c>
      <c r="M920">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cm="1">
        <f t="array" ref="F921">_xlfn.XLOOKUP(C921,customers!$A$1:$A1920,customers!$B$1:$B1920,,0)</f>
        <v>Quintina Heavyside</v>
      </c>
      <c r="G921" s="2" t="str">
        <f>IF(_xlfn.XLOOKUP(C921, customers!$A:$A, customers!$C:$C,,0)=0, "", _xlfn.XLOOKUP(C921, customers!$A:$A, customers!$C:$C,,0))</f>
        <v>qheavysidepj@unc.edu</v>
      </c>
      <c r="H921" s="2" t="str">
        <f>_xlfn.XLOOKUP(C921, customers!$A:$A, customers!$G:$G,,0)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f>INDEX(products!$A$1:$G$49,MATCH(orders!$D921,products!$A$1:$A$49,0),MATCH(orders!L$1,products!$A$1:$G$1,0))</f>
        <v>2.6849999999999996</v>
      </c>
      <c r="M921">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cm="1">
        <f t="array" ref="F922">_xlfn.XLOOKUP(C922,customers!$A$1:$A1921,customers!$B$1:$B1921,,0)</f>
        <v>Hadley Reuven</v>
      </c>
      <c r="G922" s="2" t="str">
        <f>IF(_xlfn.XLOOKUP(C922, customers!$A:$A, customers!$C:$C,,0)=0, "", _xlfn.XLOOKUP(C922, customers!$A:$A, customers!$C:$C,,0))</f>
        <v>hreuvenpk@whitehouse.gov</v>
      </c>
      <c r="H922" s="2" t="str">
        <f>_xlfn.XLOOKUP(C922, customers!$A:$A, customers!$G:$G,,0)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f>INDEX(products!$A$1:$G$49,MATCH(orders!$D922,products!$A$1:$A$49,0),MATCH(orders!L$1,products!$A$1:$G$1,0))</f>
        <v>20.584999999999997</v>
      </c>
      <c r="M922">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cm="1">
        <f t="array" ref="F923">_xlfn.XLOOKUP(C923,customers!$A$1:$A1922,customers!$B$1:$B1922,,0)</f>
        <v>Mitch Attwool</v>
      </c>
      <c r="G923" s="2" t="str">
        <f>IF(_xlfn.XLOOKUP(C923, customers!$A:$A, customers!$C:$C,,0)=0, "", _xlfn.XLOOKUP(C923, customers!$A:$A, customers!$C:$C,,0))</f>
        <v>mattwoolpl@nba.com</v>
      </c>
      <c r="H923" s="2" t="str">
        <f>_xlfn.XLOOKUP(C923, customers!$A:$A, customers!$G:$G,,0)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f>INDEX(products!$A$1:$G$49,MATCH(orders!$D923,products!$A$1:$A$49,0),MATCH(orders!L$1,products!$A$1:$G$1,0))</f>
        <v>3.8849999999999998</v>
      </c>
      <c r="M923">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cm="1">
        <f t="array" ref="F924">_xlfn.XLOOKUP(C924,customers!$A$1:$A1923,customers!$B$1:$B1923,,0)</f>
        <v>Charin Maplethorp</v>
      </c>
      <c r="G924" s="2" t="str">
        <f>IF(_xlfn.XLOOKUP(C924, customers!$A:$A, customers!$C:$C,,0)=0, "", _xlfn.XLOOKUP(C924, customers!$A:$A, customers!$C:$C,,0))</f>
        <v/>
      </c>
      <c r="H924" s="2" t="str">
        <f>_xlfn.XLOOKUP(C924, customers!$A:$A, customers!$G:$G,,0)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f>INDEX(products!$A$1:$G$49,MATCH(orders!$D924,products!$A$1:$A$49,0),MATCH(orders!L$1,products!$A$1:$G$1,0))</f>
        <v>11.25</v>
      </c>
      <c r="M924">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cm="1">
        <f t="array" ref="F925">_xlfn.XLOOKUP(C925,customers!$A$1:$A1924,customers!$B$1:$B1924,,0)</f>
        <v>Goldie Wynes</v>
      </c>
      <c r="G925" s="2" t="str">
        <f>IF(_xlfn.XLOOKUP(C925, customers!$A:$A, customers!$C:$C,,0)=0, "", _xlfn.XLOOKUP(C925, customers!$A:$A, customers!$C:$C,,0))</f>
        <v>gwynespn@dagondesign.com</v>
      </c>
      <c r="H925" s="2" t="str">
        <f>_xlfn.XLOOKUP(C925, customers!$A:$A, customers!$G:$G,,0)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f>INDEX(products!$A$1:$G$49,MATCH(orders!$D925,products!$A$1:$A$49,0),MATCH(orders!L$1,products!$A$1:$G$1,0))</f>
        <v>27.945</v>
      </c>
      <c r="M92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cm="1">
        <f t="array" ref="F926">_xlfn.XLOOKUP(C926,customers!$A$1:$A1925,customers!$B$1:$B1925,,0)</f>
        <v>Celie MacCourt</v>
      </c>
      <c r="G926" s="2" t="str">
        <f>IF(_xlfn.XLOOKUP(C926, customers!$A:$A, customers!$C:$C,,0)=0, "", _xlfn.XLOOKUP(C926, customers!$A:$A, customers!$C:$C,,0))</f>
        <v>cmaccourtpo@amazon.com</v>
      </c>
      <c r="H926" s="2" t="str">
        <f>_xlfn.XLOOKUP(C926, customers!$A:$A, customers!$G:$G,,0)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f>INDEX(products!$A$1:$G$49,MATCH(orders!$D926,products!$A$1:$A$49,0),MATCH(orders!L$1,products!$A$1:$G$1,0))</f>
        <v>29.784999999999997</v>
      </c>
      <c r="M926">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cm="1">
        <f t="array" ref="F927">_xlfn.XLOOKUP(C927,customers!$A$1:$A1926,customers!$B$1:$B1926,,0)</f>
        <v>Derick Snow</v>
      </c>
      <c r="G927" s="2" t="str">
        <f>IF(_xlfn.XLOOKUP(C927, customers!$A:$A, customers!$C:$C,,0)=0, "", _xlfn.XLOOKUP(C927, customers!$A:$A, customers!$C:$C,,0))</f>
        <v/>
      </c>
      <c r="H927" s="2" t="str">
        <f>_xlfn.XLOOKUP(C927, customers!$A:$A, customers!$G:$G,,0)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f>INDEX(products!$A$1:$G$49,MATCH(orders!$D927,products!$A$1:$A$49,0),MATCH(orders!L$1,products!$A$1:$G$1,0))</f>
        <v>6.75</v>
      </c>
      <c r="M927">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cm="1">
        <f t="array" ref="F928">_xlfn.XLOOKUP(C928,customers!$A$1:$A1927,customers!$B$1:$B1927,,0)</f>
        <v>Evy Wilsone</v>
      </c>
      <c r="G928" s="2" t="str">
        <f>IF(_xlfn.XLOOKUP(C928, customers!$A:$A, customers!$C:$C,,0)=0, "", _xlfn.XLOOKUP(C928, customers!$A:$A, customers!$C:$C,,0))</f>
        <v>ewilsonepq@eepurl.com</v>
      </c>
      <c r="H928" s="2" t="str">
        <f>_xlfn.XLOOKUP(C928, customers!$A:$A, customers!$G:$G,,0)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f>INDEX(products!$A$1:$G$49,MATCH(orders!$D928,products!$A$1:$A$49,0),MATCH(orders!L$1,products!$A$1:$G$1,0))</f>
        <v>6.75</v>
      </c>
      <c r="M928">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cm="1">
        <f t="array" ref="F929">_xlfn.XLOOKUP(C929,customers!$A$1:$A1928,customers!$B$1:$B1928,,0)</f>
        <v>Dolores Duffie</v>
      </c>
      <c r="G929" s="2" t="str">
        <f>IF(_xlfn.XLOOKUP(C929, customers!$A:$A, customers!$C:$C,,0)=0, "", _xlfn.XLOOKUP(C929, customers!$A:$A, customers!$C:$C,,0))</f>
        <v>dduffiepr@time.com</v>
      </c>
      <c r="H929" s="2" t="str">
        <f>_xlfn.XLOOKUP(C929, customers!$A:$A, customers!$G:$G,,0)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f>INDEX(products!$A$1:$G$49,MATCH(orders!$D929,products!$A$1:$A$49,0),MATCH(orders!L$1,products!$A$1:$G$1,0))</f>
        <v>27.945</v>
      </c>
      <c r="M929">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cm="1">
        <f t="array" ref="F930">_xlfn.XLOOKUP(C930,customers!$A$1:$A1929,customers!$B$1:$B1929,,0)</f>
        <v>Mathilda Matiasek</v>
      </c>
      <c r="G930" s="2" t="str">
        <f>IF(_xlfn.XLOOKUP(C930, customers!$A:$A, customers!$C:$C,,0)=0, "", _xlfn.XLOOKUP(C930, customers!$A:$A, customers!$C:$C,,0))</f>
        <v>mmatiasekps@ucoz.ru</v>
      </c>
      <c r="H930" s="2" t="str">
        <f>_xlfn.XLOOKUP(C930, customers!$A:$A, customers!$G:$G,,0)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f>INDEX(products!$A$1:$G$49,MATCH(orders!$D930,products!$A$1:$A$49,0),MATCH(orders!L$1,products!$A$1:$G$1,0))</f>
        <v>31.624999999999996</v>
      </c>
      <c r="M930">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cm="1">
        <f t="array" ref="F931">_xlfn.XLOOKUP(C931,customers!$A$1:$A1930,customers!$B$1:$B1930,,0)</f>
        <v>Jarred Camillo</v>
      </c>
      <c r="G931" s="2" t="str">
        <f>IF(_xlfn.XLOOKUP(C931, customers!$A:$A, customers!$C:$C,,0)=0, "", _xlfn.XLOOKUP(C931, customers!$A:$A, customers!$C:$C,,0))</f>
        <v>jcamillopt@shinystat.com</v>
      </c>
      <c r="H931" s="2" t="str">
        <f>_xlfn.XLOOKUP(C931, customers!$A:$A, customers!$G:$G,,0)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f>INDEX(products!$A$1:$G$49,MATCH(orders!$D931,products!$A$1:$A$49,0),MATCH(orders!L$1,products!$A$1:$G$1,0))</f>
        <v>4.4550000000000001</v>
      </c>
      <c r="M931">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cm="1">
        <f t="array" ref="F932">_xlfn.XLOOKUP(C932,customers!$A$1:$A1931,customers!$B$1:$B1931,,0)</f>
        <v>Kameko Philbrick</v>
      </c>
      <c r="G932" s="2" t="str">
        <f>IF(_xlfn.XLOOKUP(C932, customers!$A:$A, customers!$C:$C,,0)=0, "", _xlfn.XLOOKUP(C932, customers!$A:$A, customers!$C:$C,,0))</f>
        <v>kphilbrickpu@cdc.gov</v>
      </c>
      <c r="H932" s="2" t="str">
        <f>_xlfn.XLOOKUP(C932, customers!$A:$A, customers!$G:$G,,0)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f>INDEX(products!$A$1:$G$49,MATCH(orders!$D932,products!$A$1:$A$49,0),MATCH(orders!L$1,products!$A$1:$G$1,0))</f>
        <v>12.15</v>
      </c>
      <c r="M932">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cm="1">
        <f t="array" ref="F933">_xlfn.XLOOKUP(C933,customers!$A$1:$A1932,customers!$B$1:$B1932,,0)</f>
        <v>Mallory Shrimpling</v>
      </c>
      <c r="G933" s="2" t="str">
        <f>IF(_xlfn.XLOOKUP(C933, customers!$A:$A, customers!$C:$C,,0)=0, "", _xlfn.XLOOKUP(C933, customers!$A:$A, customers!$C:$C,,0))</f>
        <v/>
      </c>
      <c r="H933" s="2" t="str">
        <f>_xlfn.XLOOKUP(C933, customers!$A:$A, customers!$G:$G,,0)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f>INDEX(products!$A$1:$G$49,MATCH(orders!$D933,products!$A$1:$A$49,0),MATCH(orders!L$1,products!$A$1:$G$1,0))</f>
        <v>5.97</v>
      </c>
      <c r="M933">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cm="1">
        <f t="array" ref="F934">_xlfn.XLOOKUP(C934,customers!$A$1:$A1933,customers!$B$1:$B1933,,0)</f>
        <v>Barnett Sillis</v>
      </c>
      <c r="G934" s="2" t="str">
        <f>IF(_xlfn.XLOOKUP(C934, customers!$A:$A, customers!$C:$C,,0)=0, "", _xlfn.XLOOKUP(C934, customers!$A:$A, customers!$C:$C,,0))</f>
        <v>bsillispw@istockphoto.com</v>
      </c>
      <c r="H934" s="2" t="str">
        <f>_xlfn.XLOOKUP(C934, customers!$A:$A, customers!$G:$G,,0)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f>INDEX(products!$A$1:$G$49,MATCH(orders!$D934,products!$A$1:$A$49,0),MATCH(orders!L$1,products!$A$1:$G$1,0))</f>
        <v>13.75</v>
      </c>
      <c r="M934">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cm="1">
        <f t="array" ref="F935">_xlfn.XLOOKUP(C935,customers!$A$1:$A1934,customers!$B$1:$B1934,,0)</f>
        <v>Brenn Dundredge</v>
      </c>
      <c r="G935" s="2" t="str">
        <f>IF(_xlfn.XLOOKUP(C935, customers!$A:$A, customers!$C:$C,,0)=0, "", _xlfn.XLOOKUP(C935, customers!$A:$A, customers!$C:$C,,0))</f>
        <v/>
      </c>
      <c r="H935" s="2" t="str">
        <f>_xlfn.XLOOKUP(C935, customers!$A:$A, customers!$G:$G,,0)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f>INDEX(products!$A$1:$G$49,MATCH(orders!$D935,products!$A$1:$A$49,0),MATCH(orders!L$1,products!$A$1:$G$1,0))</f>
        <v>8.9499999999999993</v>
      </c>
      <c r="M93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cm="1">
        <f t="array" ref="F936">_xlfn.XLOOKUP(C936,customers!$A$1:$A1935,customers!$B$1:$B1935,,0)</f>
        <v>Read Cutts</v>
      </c>
      <c r="G936" s="2" t="str">
        <f>IF(_xlfn.XLOOKUP(C936, customers!$A:$A, customers!$C:$C,,0)=0, "", _xlfn.XLOOKUP(C936, customers!$A:$A, customers!$C:$C,,0))</f>
        <v>rcuttspy@techcrunch.com</v>
      </c>
      <c r="H936" s="2" t="str">
        <f>_xlfn.XLOOKUP(C936, customers!$A:$A, customers!$G:$G,,0)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f>INDEX(products!$A$1:$G$49,MATCH(orders!$D936,products!$A$1:$A$49,0),MATCH(orders!L$1,products!$A$1:$G$1,0))</f>
        <v>22.884999999999998</v>
      </c>
      <c r="M936">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cm="1">
        <f t="array" ref="F937">_xlfn.XLOOKUP(C937,customers!$A$1:$A1936,customers!$B$1:$B1936,,0)</f>
        <v>Michale Delves</v>
      </c>
      <c r="G937" s="2" t="str">
        <f>IF(_xlfn.XLOOKUP(C937, customers!$A:$A, customers!$C:$C,,0)=0, "", _xlfn.XLOOKUP(C937, customers!$A:$A, customers!$C:$C,,0))</f>
        <v>mdelvespz@nature.com</v>
      </c>
      <c r="H937" s="2" t="str">
        <f>_xlfn.XLOOKUP(C937, customers!$A:$A, customers!$G:$G,,0)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f>INDEX(products!$A$1:$G$49,MATCH(orders!$D937,products!$A$1:$A$49,0),MATCH(orders!L$1,products!$A$1:$G$1,0))</f>
        <v>25.874999999999996</v>
      </c>
      <c r="M937">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cm="1">
        <f t="array" ref="F938">_xlfn.XLOOKUP(C938,customers!$A$1:$A1937,customers!$B$1:$B1937,,0)</f>
        <v>Devland Gritton</v>
      </c>
      <c r="G938" s="2" t="str">
        <f>IF(_xlfn.XLOOKUP(C938, customers!$A:$A, customers!$C:$C,,0)=0, "", _xlfn.XLOOKUP(C938, customers!$A:$A, customers!$C:$C,,0))</f>
        <v>dgrittonq0@nydailynews.com</v>
      </c>
      <c r="H938" s="2" t="str">
        <f>_xlfn.XLOOKUP(C938, customers!$A:$A, customers!$G:$G,,0)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f>INDEX(products!$A$1:$G$49,MATCH(orders!$D938,products!$A$1:$A$49,0),MATCH(orders!L$1,products!$A$1:$G$1,0))</f>
        <v>7.77</v>
      </c>
      <c r="M938">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cm="1">
        <f t="array" ref="F939">_xlfn.XLOOKUP(C939,customers!$A$1:$A1938,customers!$B$1:$B1938,,0)</f>
        <v>Devland Gritton</v>
      </c>
      <c r="G939" s="2" t="str">
        <f>IF(_xlfn.XLOOKUP(C939, customers!$A:$A, customers!$C:$C,,0)=0, "", _xlfn.XLOOKUP(C939, customers!$A:$A, customers!$C:$C,,0))</f>
        <v>dgrittonq0@nydailynews.com</v>
      </c>
      <c r="H939" s="2" t="str">
        <f>_xlfn.XLOOKUP(C939, customers!$A:$A, customers!$G:$G,,0)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f>INDEX(products!$A$1:$G$49,MATCH(orders!$D939,products!$A$1:$A$49,0),MATCH(orders!L$1,products!$A$1:$G$1,0))</f>
        <v>22.884999999999998</v>
      </c>
      <c r="M939">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cm="1">
        <f t="array" ref="F940">_xlfn.XLOOKUP(C940,customers!$A$1:$A1939,customers!$B$1:$B1939,,0)</f>
        <v>Dell Gut</v>
      </c>
      <c r="G940" s="2" t="str">
        <f>IF(_xlfn.XLOOKUP(C940, customers!$A:$A, customers!$C:$C,,0)=0, "", _xlfn.XLOOKUP(C940, customers!$A:$A, customers!$C:$C,,0))</f>
        <v>dgutq2@umich.edu</v>
      </c>
      <c r="H940" s="2" t="str">
        <f>_xlfn.XLOOKUP(C940, customers!$A:$A, customers!$G:$G,,0)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f>INDEX(products!$A$1:$G$49,MATCH(orders!$D940,products!$A$1:$A$49,0),MATCH(orders!L$1,products!$A$1:$G$1,0))</f>
        <v>14.85</v>
      </c>
      <c r="M940">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cm="1">
        <f t="array" ref="F941">_xlfn.XLOOKUP(C941,customers!$A$1:$A1940,customers!$B$1:$B1940,,0)</f>
        <v>Willy Pummery</v>
      </c>
      <c r="G941" s="2" t="str">
        <f>IF(_xlfn.XLOOKUP(C941, customers!$A:$A, customers!$C:$C,,0)=0, "", _xlfn.XLOOKUP(C941, customers!$A:$A, customers!$C:$C,,0))</f>
        <v>wpummeryq3@topsy.com</v>
      </c>
      <c r="H941" s="2" t="str">
        <f>_xlfn.XLOOKUP(C941, customers!$A:$A, customers!$G:$G,,0)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f>INDEX(products!$A$1:$G$49,MATCH(orders!$D941,products!$A$1:$A$49,0),MATCH(orders!L$1,products!$A$1:$G$1,0))</f>
        <v>4.7549999999999999</v>
      </c>
      <c r="M941">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cm="1">
        <f t="array" ref="F942">_xlfn.XLOOKUP(C942,customers!$A$1:$A1941,customers!$B$1:$B1941,,0)</f>
        <v>Geoffrey Siuda</v>
      </c>
      <c r="G942" s="2" t="str">
        <f>IF(_xlfn.XLOOKUP(C942, customers!$A:$A, customers!$C:$C,,0)=0, "", _xlfn.XLOOKUP(C942, customers!$A:$A, customers!$C:$C,,0))</f>
        <v>gsiudaq4@nytimes.com</v>
      </c>
      <c r="H942" s="2" t="str">
        <f>_xlfn.XLOOKUP(C942, customers!$A:$A, customers!$G:$G,,0)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f>INDEX(products!$A$1:$G$49,MATCH(orders!$D942,products!$A$1:$A$49,0),MATCH(orders!L$1,products!$A$1:$G$1,0))</f>
        <v>7.169999999999999</v>
      </c>
      <c r="M942">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cm="1">
        <f t="array" ref="F943">_xlfn.XLOOKUP(C943,customers!$A$1:$A1942,customers!$B$1:$B1942,,0)</f>
        <v>Henderson Crowne</v>
      </c>
      <c r="G943" s="2" t="str">
        <f>IF(_xlfn.XLOOKUP(C943, customers!$A:$A, customers!$C:$C,,0)=0, "", _xlfn.XLOOKUP(C943, customers!$A:$A, customers!$C:$C,,0))</f>
        <v>hcrowneq5@wufoo.com</v>
      </c>
      <c r="H943" s="2" t="str">
        <f>_xlfn.XLOOKUP(C943, customers!$A:$A, customers!$G:$G,,0)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f>INDEX(products!$A$1:$G$49,MATCH(orders!$D943,products!$A$1:$A$49,0),MATCH(orders!L$1,products!$A$1:$G$1,0))</f>
        <v>7.77</v>
      </c>
      <c r="M943">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cm="1">
        <f t="array" ref="F944">_xlfn.XLOOKUP(C944,customers!$A$1:$A1943,customers!$B$1:$B1943,,0)</f>
        <v>Vernor Pawsey</v>
      </c>
      <c r="G944" s="2" t="str">
        <f>IF(_xlfn.XLOOKUP(C944, customers!$A:$A, customers!$C:$C,,0)=0, "", _xlfn.XLOOKUP(C944, customers!$A:$A, customers!$C:$C,,0))</f>
        <v>vpawseyq6@tiny.cc</v>
      </c>
      <c r="H944" s="2" t="str">
        <f>_xlfn.XLOOKUP(C944, customers!$A:$A, customers!$G:$G,,0)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f>INDEX(products!$A$1:$G$49,MATCH(orders!$D944,products!$A$1:$A$49,0),MATCH(orders!L$1,products!$A$1:$G$1,0))</f>
        <v>11.95</v>
      </c>
      <c r="M944">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cm="1">
        <f t="array" ref="F945">_xlfn.XLOOKUP(C945,customers!$A$1:$A1944,customers!$B$1:$B1944,,0)</f>
        <v>Augustin Waterhouse</v>
      </c>
      <c r="G945" s="2" t="str">
        <f>IF(_xlfn.XLOOKUP(C945, customers!$A:$A, customers!$C:$C,,0)=0, "", _xlfn.XLOOKUP(C945, customers!$A:$A, customers!$C:$C,,0))</f>
        <v>awaterhouseq7@istockphoto.com</v>
      </c>
      <c r="H945" s="2" t="str">
        <f>_xlfn.XLOOKUP(C945, customers!$A:$A, customers!$G:$G,,0)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f>INDEX(products!$A$1:$G$49,MATCH(orders!$D945,products!$A$1:$A$49,0),MATCH(orders!L$1,products!$A$1:$G$1,0))</f>
        <v>7.77</v>
      </c>
      <c r="M94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cm="1">
        <f t="array" ref="F946">_xlfn.XLOOKUP(C946,customers!$A$1:$A1945,customers!$B$1:$B1945,,0)</f>
        <v>Fanchon Haughian</v>
      </c>
      <c r="G946" s="2" t="str">
        <f>IF(_xlfn.XLOOKUP(C946, customers!$A:$A, customers!$C:$C,,0)=0, "", _xlfn.XLOOKUP(C946, customers!$A:$A, customers!$C:$C,,0))</f>
        <v>fhaughianq8@1688.com</v>
      </c>
      <c r="H946" s="2" t="str">
        <f>_xlfn.XLOOKUP(C946, customers!$A:$A, customers!$G:$G,,0)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f>INDEX(products!$A$1:$G$49,MATCH(orders!$D946,products!$A$1:$A$49,0),MATCH(orders!L$1,products!$A$1:$G$1,0))</f>
        <v>7.169999999999999</v>
      </c>
      <c r="M946">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cm="1">
        <f t="array" ref="F947">_xlfn.XLOOKUP(C947,customers!$A$1:$A1946,customers!$B$1:$B1946,,0)</f>
        <v>Jaimie Hatz</v>
      </c>
      <c r="G947" s="2" t="str">
        <f>IF(_xlfn.XLOOKUP(C947, customers!$A:$A, customers!$C:$C,,0)=0, "", _xlfn.XLOOKUP(C947, customers!$A:$A, customers!$C:$C,,0))</f>
        <v/>
      </c>
      <c r="H947" s="2" t="str">
        <f>_xlfn.XLOOKUP(C947, customers!$A:$A, customers!$G:$G,,0)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f>INDEX(products!$A$1:$G$49,MATCH(orders!$D947,products!$A$1:$A$49,0),MATCH(orders!L$1,products!$A$1:$G$1,0))</f>
        <v>29.784999999999997</v>
      </c>
      <c r="M947">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cm="1">
        <f t="array" ref="F948">_xlfn.XLOOKUP(C948,customers!$A$1:$A1947,customers!$B$1:$B1947,,0)</f>
        <v>Edeline Edney</v>
      </c>
      <c r="G948" s="2" t="str">
        <f>IF(_xlfn.XLOOKUP(C948, customers!$A:$A, customers!$C:$C,,0)=0, "", _xlfn.XLOOKUP(C948, customers!$A:$A, customers!$C:$C,,0))</f>
        <v/>
      </c>
      <c r="H948" s="2" t="str">
        <f>_xlfn.XLOOKUP(C948, customers!$A:$A, customers!$G:$G,,0)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f>INDEX(products!$A$1:$G$49,MATCH(orders!$D948,products!$A$1:$A$49,0),MATCH(orders!L$1,products!$A$1:$G$1,0))</f>
        <v>7.77</v>
      </c>
      <c r="M948">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cm="1">
        <f t="array" ref="F949">_xlfn.XLOOKUP(C949,customers!$A$1:$A1948,customers!$B$1:$B1948,,0)</f>
        <v>Rickie Faltin</v>
      </c>
      <c r="G949" s="2" t="str">
        <f>IF(_xlfn.XLOOKUP(C949, customers!$A:$A, customers!$C:$C,,0)=0, "", _xlfn.XLOOKUP(C949, customers!$A:$A, customers!$C:$C,,0))</f>
        <v>rfaltinqb@topsy.com</v>
      </c>
      <c r="H949" s="2" t="str">
        <f>_xlfn.XLOOKUP(C949, customers!$A:$A, customers!$G:$G,,0)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f>INDEX(products!$A$1:$G$49,MATCH(orders!$D949,products!$A$1:$A$49,0),MATCH(orders!L$1,products!$A$1:$G$1,0))</f>
        <v>11.25</v>
      </c>
      <c r="M949">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cm="1">
        <f t="array" ref="F950">_xlfn.XLOOKUP(C950,customers!$A$1:$A1949,customers!$B$1:$B1949,,0)</f>
        <v>Gnni Cheeke</v>
      </c>
      <c r="G950" s="2" t="str">
        <f>IF(_xlfn.XLOOKUP(C950, customers!$A:$A, customers!$C:$C,,0)=0, "", _xlfn.XLOOKUP(C950, customers!$A:$A, customers!$C:$C,,0))</f>
        <v>gcheekeqc@sitemeter.com</v>
      </c>
      <c r="H950" s="2" t="str">
        <f>_xlfn.XLOOKUP(C950, customers!$A:$A, customers!$G:$G,,0)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f>INDEX(products!$A$1:$G$49,MATCH(orders!$D950,products!$A$1:$A$49,0),MATCH(orders!L$1,products!$A$1:$G$1,0))</f>
        <v>27.945</v>
      </c>
      <c r="M950">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cm="1">
        <f t="array" ref="F951">_xlfn.XLOOKUP(C951,customers!$A$1:$A1950,customers!$B$1:$B1950,,0)</f>
        <v>Gwenni Ratt</v>
      </c>
      <c r="G951" s="2" t="str">
        <f>IF(_xlfn.XLOOKUP(C951, customers!$A:$A, customers!$C:$C,,0)=0, "", _xlfn.XLOOKUP(C951, customers!$A:$A, customers!$C:$C,,0))</f>
        <v>grattqd@phpbb.com</v>
      </c>
      <c r="H951" s="2" t="str">
        <f>_xlfn.XLOOKUP(C951, customers!$A:$A, customers!$G:$G,,0)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f>INDEX(products!$A$1:$G$49,MATCH(orders!$D951,products!$A$1:$A$49,0),MATCH(orders!L$1,products!$A$1:$G$1,0))</f>
        <v>27.484999999999996</v>
      </c>
      <c r="M951">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cm="1">
        <f t="array" ref="F952">_xlfn.XLOOKUP(C952,customers!$A$1:$A1951,customers!$B$1:$B1951,,0)</f>
        <v>Johnath Fairebrother</v>
      </c>
      <c r="G952" s="2" t="str">
        <f>IF(_xlfn.XLOOKUP(C952, customers!$A:$A, customers!$C:$C,,0)=0, "", _xlfn.XLOOKUP(C952, customers!$A:$A, customers!$C:$C,,0))</f>
        <v/>
      </c>
      <c r="H952" s="2" t="str">
        <f>_xlfn.XLOOKUP(C952, customers!$A:$A, customers!$G:$G,,0)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f>INDEX(products!$A$1:$G$49,MATCH(orders!$D952,products!$A$1:$A$49,0),MATCH(orders!L$1,products!$A$1:$G$1,0))</f>
        <v>3.5849999999999995</v>
      </c>
      <c r="M952">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cm="1">
        <f t="array" ref="F953">_xlfn.XLOOKUP(C953,customers!$A$1:$A1952,customers!$B$1:$B1952,,0)</f>
        <v>Ingamar Eberlein</v>
      </c>
      <c r="G953" s="2" t="str">
        <f>IF(_xlfn.XLOOKUP(C953, customers!$A:$A, customers!$C:$C,,0)=0, "", _xlfn.XLOOKUP(C953, customers!$A:$A, customers!$C:$C,,0))</f>
        <v>ieberleinqf@hc360.com</v>
      </c>
      <c r="H953" s="2" t="str">
        <f>_xlfn.XLOOKUP(C953, customers!$A:$A, customers!$G:$G,,0)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f>INDEX(products!$A$1:$G$49,MATCH(orders!$D953,products!$A$1:$A$49,0),MATCH(orders!L$1,products!$A$1:$G$1,0))</f>
        <v>3.5849999999999995</v>
      </c>
      <c r="M953">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cm="1">
        <f t="array" ref="F954">_xlfn.XLOOKUP(C954,customers!$A$1:$A1953,customers!$B$1:$B1953,,0)</f>
        <v>Jilly Dreng</v>
      </c>
      <c r="G954" s="2" t="str">
        <f>IF(_xlfn.XLOOKUP(C954, customers!$A:$A, customers!$C:$C,,0)=0, "", _xlfn.XLOOKUP(C954, customers!$A:$A, customers!$C:$C,,0))</f>
        <v>jdrengqg@uiuc.edu</v>
      </c>
      <c r="H954" s="2" t="str">
        <f>_xlfn.XLOOKUP(C954, customers!$A:$A, customers!$G:$G,,0)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f>INDEX(products!$A$1:$G$49,MATCH(orders!$D954,products!$A$1:$A$49,0),MATCH(orders!L$1,products!$A$1:$G$1,0))</f>
        <v>11.25</v>
      </c>
      <c r="M954">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cm="1">
        <f t="array" ref="F955">_xlfn.XLOOKUP(C955,customers!$A$1:$A1954,customers!$B$1:$B1954,,0)</f>
        <v>Brenn Dundredge</v>
      </c>
      <c r="G955" s="2" t="str">
        <f>IF(_xlfn.XLOOKUP(C955, customers!$A:$A, customers!$C:$C,,0)=0, "", _xlfn.XLOOKUP(C955, customers!$A:$A, customers!$C:$C,,0))</f>
        <v/>
      </c>
      <c r="H955" s="2" t="str">
        <f>_xlfn.XLOOKUP(C955, customers!$A:$A, customers!$G:$G,,0)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f>INDEX(products!$A$1:$G$49,MATCH(orders!$D955,products!$A$1:$A$49,0),MATCH(orders!L$1,products!$A$1:$G$1,0))</f>
        <v>3.8849999999999998</v>
      </c>
      <c r="M95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cm="1">
        <f t="array" ref="F956">_xlfn.XLOOKUP(C956,customers!$A$1:$A1955,customers!$B$1:$B1955,,0)</f>
        <v>Brenn Dundredge</v>
      </c>
      <c r="G956" s="2" t="str">
        <f>IF(_xlfn.XLOOKUP(C956, customers!$A:$A, customers!$C:$C,,0)=0, "", _xlfn.XLOOKUP(C956, customers!$A:$A, customers!$C:$C,,0))</f>
        <v/>
      </c>
      <c r="H956" s="2" t="str">
        <f>_xlfn.XLOOKUP(C956, customers!$A:$A, customers!$G:$G,,0)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f>INDEX(products!$A$1:$G$49,MATCH(orders!$D956,products!$A$1:$A$49,0),MATCH(orders!L$1,products!$A$1:$G$1,0))</f>
        <v>27.945</v>
      </c>
      <c r="M956">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cm="1">
        <f t="array" ref="F957">_xlfn.XLOOKUP(C957,customers!$A$1:$A1956,customers!$B$1:$B1956,,0)</f>
        <v>Brenn Dundredge</v>
      </c>
      <c r="G957" s="2" t="str">
        <f>IF(_xlfn.XLOOKUP(C957, customers!$A:$A, customers!$C:$C,,0)=0, "", _xlfn.XLOOKUP(C957, customers!$A:$A, customers!$C:$C,,0))</f>
        <v/>
      </c>
      <c r="H957" s="2" t="str">
        <f>_xlfn.XLOOKUP(C957, customers!$A:$A, customers!$G:$G,,0)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f>INDEX(products!$A$1:$G$49,MATCH(orders!$D957,products!$A$1:$A$49,0),MATCH(orders!L$1,products!$A$1:$G$1,0))</f>
        <v>34.154999999999994</v>
      </c>
      <c r="M957">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cm="1">
        <f t="array" ref="F958">_xlfn.XLOOKUP(C958,customers!$A$1:$A1957,customers!$B$1:$B1957,,0)</f>
        <v>Brenn Dundredge</v>
      </c>
      <c r="G958" s="2" t="str">
        <f>IF(_xlfn.XLOOKUP(C958, customers!$A:$A, customers!$C:$C,,0)=0, "", _xlfn.XLOOKUP(C958, customers!$A:$A, customers!$C:$C,,0))</f>
        <v/>
      </c>
      <c r="H958" s="2" t="str">
        <f>_xlfn.XLOOKUP(C958, customers!$A:$A, customers!$G:$G,,0)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f>INDEX(products!$A$1:$G$49,MATCH(orders!$D958,products!$A$1:$A$49,0),MATCH(orders!L$1,products!$A$1:$G$1,0))</f>
        <v>27.484999999999996</v>
      </c>
      <c r="M958">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cm="1">
        <f t="array" ref="F959">_xlfn.XLOOKUP(C959,customers!$A$1:$A1958,customers!$B$1:$B1958,,0)</f>
        <v>Brenn Dundredge</v>
      </c>
      <c r="G959" s="2" t="str">
        <f>IF(_xlfn.XLOOKUP(C959, customers!$A:$A, customers!$C:$C,,0)=0, "", _xlfn.XLOOKUP(C959, customers!$A:$A, customers!$C:$C,,0))</f>
        <v/>
      </c>
      <c r="H959" s="2" t="str">
        <f>_xlfn.XLOOKUP(C959, customers!$A:$A, customers!$G:$G,,0)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f>INDEX(products!$A$1:$G$49,MATCH(orders!$D959,products!$A$1:$A$49,0),MATCH(orders!L$1,products!$A$1:$G$1,0))</f>
        <v>14.85</v>
      </c>
      <c r="M959">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cm="1">
        <f t="array" ref="F960">_xlfn.XLOOKUP(C960,customers!$A$1:$A1959,customers!$B$1:$B1959,,0)</f>
        <v>Brenn Dundredge</v>
      </c>
      <c r="G960" s="2" t="str">
        <f>IF(_xlfn.XLOOKUP(C960, customers!$A:$A, customers!$C:$C,,0)=0, "", _xlfn.XLOOKUP(C960, customers!$A:$A, customers!$C:$C,,0))</f>
        <v/>
      </c>
      <c r="H960" s="2" t="str">
        <f>_xlfn.XLOOKUP(C960, customers!$A:$A, customers!$G:$G,,0)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f>INDEX(products!$A$1:$G$49,MATCH(orders!$D960,products!$A$1:$A$49,0),MATCH(orders!L$1,products!$A$1:$G$1,0))</f>
        <v>3.8849999999999998</v>
      </c>
      <c r="M960">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cm="1">
        <f t="array" ref="F961">_xlfn.XLOOKUP(C961,customers!$A$1:$A1960,customers!$B$1:$B1960,,0)</f>
        <v>Rhodie Strathern</v>
      </c>
      <c r="G961" s="2" t="str">
        <f>IF(_xlfn.XLOOKUP(C961, customers!$A:$A, customers!$C:$C,,0)=0, "", _xlfn.XLOOKUP(C961, customers!$A:$A, customers!$C:$C,,0))</f>
        <v>rstrathernqn@devhub.com</v>
      </c>
      <c r="H961" s="2" t="str">
        <f>_xlfn.XLOOKUP(C961, customers!$A:$A, customers!$G:$G,,0)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f>INDEX(products!$A$1:$G$49,MATCH(orders!$D961,products!$A$1:$A$49,0),MATCH(orders!L$1,products!$A$1:$G$1,0))</f>
        <v>4.7549999999999999</v>
      </c>
      <c r="M961">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cm="1">
        <f t="array" ref="F962">_xlfn.XLOOKUP(C962,customers!$A$1:$A1961,customers!$B$1:$B1961,,0)</f>
        <v>Chad Miguel</v>
      </c>
      <c r="G962" s="2" t="str">
        <f>IF(_xlfn.XLOOKUP(C962, customers!$A:$A, customers!$C:$C,,0)=0, "", _xlfn.XLOOKUP(C962, customers!$A:$A, customers!$C:$C,,0))</f>
        <v>cmiguelqo@exblog.jp</v>
      </c>
      <c r="H962" s="2" t="str">
        <f>_xlfn.XLOOKUP(C962, customers!$A:$A, customers!$G:$G,,0)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f>INDEX(products!$A$1:$G$49,MATCH(orders!$D962,products!$A$1:$A$49,0),MATCH(orders!L$1,products!$A$1:$G$1,0))</f>
        <v>15.85</v>
      </c>
      <c r="M962">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cm="1">
        <f t="array" ref="F963">_xlfn.XLOOKUP(C963,customers!$A$1:$A1962,customers!$B$1:$B1962,,0)</f>
        <v>Florinda Matusovsky</v>
      </c>
      <c r="G963" s="2" t="str">
        <f>IF(_xlfn.XLOOKUP(C963, customers!$A:$A, customers!$C:$C,,0)=0, "", _xlfn.XLOOKUP(C963, customers!$A:$A, customers!$C:$C,,0))</f>
        <v/>
      </c>
      <c r="H963" s="2" t="str">
        <f>_xlfn.XLOOKUP(C963, customers!$A:$A, customers!$G:$G,,0)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f>INDEX(products!$A$1:$G$49,MATCH(orders!$D963,products!$A$1:$A$49,0),MATCH(orders!L$1,products!$A$1:$G$1,0))</f>
        <v>22.884999999999998</v>
      </c>
      <c r="M963">
        <f t="shared" ref="M963:M1004" si="45">L963*E963</f>
        <v>45.769999999999996</v>
      </c>
      <c r="N963" t="str">
        <f t="shared" ref="N963:N1004" si="46">IF(I963="Rob", "Robusta", IF(I963="Exc","Excelsa",IF(I963="Ara","Arabica", IF(I963="Lib","Liberica",""))))</f>
        <v>Arabica</v>
      </c>
      <c r="O963" t="str">
        <f t="shared" ref="O963:O1004"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cm="1">
        <f t="array" ref="F964">_xlfn.XLOOKUP(C964,customers!$A$1:$A1963,customers!$B$1:$B1963,,0)</f>
        <v>Morly Rocks</v>
      </c>
      <c r="G964" s="2" t="str">
        <f>IF(_xlfn.XLOOKUP(C964, customers!$A:$A, customers!$C:$C,,0)=0, "", _xlfn.XLOOKUP(C964, customers!$A:$A, customers!$C:$C,,0))</f>
        <v>mrocksqq@exblog.jp</v>
      </c>
      <c r="H964" s="2" t="str">
        <f>_xlfn.XLOOKUP(C964, customers!$A:$A, customers!$G:$G,,0)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f>INDEX(products!$A$1:$G$49,MATCH(orders!$D964,products!$A$1:$A$49,0),MATCH(orders!L$1,products!$A$1:$G$1,0))</f>
        <v>8.9499999999999993</v>
      </c>
      <c r="M964">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cm="1">
        <f t="array" ref="F965">_xlfn.XLOOKUP(C965,customers!$A$1:$A1964,customers!$B$1:$B1964,,0)</f>
        <v>Yuri Burrells</v>
      </c>
      <c r="G965" s="2" t="str">
        <f>IF(_xlfn.XLOOKUP(C965, customers!$A:$A, customers!$C:$C,,0)=0, "", _xlfn.XLOOKUP(C965, customers!$A:$A, customers!$C:$C,,0))</f>
        <v>yburrellsqr@vinaora.com</v>
      </c>
      <c r="H965" s="2" t="str">
        <f>_xlfn.XLOOKUP(C965, customers!$A:$A, customers!$G:$G,,0)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f>INDEX(products!$A$1:$G$49,MATCH(orders!$D965,products!$A$1:$A$49,0),MATCH(orders!L$1,products!$A$1:$G$1,0))</f>
        <v>5.97</v>
      </c>
      <c r="M96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cm="1">
        <f t="array" ref="F966">_xlfn.XLOOKUP(C966,customers!$A$1:$A1965,customers!$B$1:$B1965,,0)</f>
        <v>Cleopatra Goodrum</v>
      </c>
      <c r="G966" s="2" t="str">
        <f>IF(_xlfn.XLOOKUP(C966, customers!$A:$A, customers!$C:$C,,0)=0, "", _xlfn.XLOOKUP(C966, customers!$A:$A, customers!$C:$C,,0))</f>
        <v>cgoodrumqs@goodreads.com</v>
      </c>
      <c r="H966" s="2" t="str">
        <f>_xlfn.XLOOKUP(C966, customers!$A:$A, customers!$G:$G,,0)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f>INDEX(products!$A$1:$G$49,MATCH(orders!$D966,products!$A$1:$A$49,0),MATCH(orders!L$1,products!$A$1:$G$1,0))</f>
        <v>4.4550000000000001</v>
      </c>
      <c r="M966">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cm="1">
        <f t="array" ref="F967">_xlfn.XLOOKUP(C967,customers!$A$1:$A1966,customers!$B$1:$B1966,,0)</f>
        <v>Joey Jefferys</v>
      </c>
      <c r="G967" s="2" t="str">
        <f>IF(_xlfn.XLOOKUP(C967, customers!$A:$A, customers!$C:$C,,0)=0, "", _xlfn.XLOOKUP(C967, customers!$A:$A, customers!$C:$C,,0))</f>
        <v>jjefferysqt@blog.com</v>
      </c>
      <c r="H967" s="2" t="str">
        <f>_xlfn.XLOOKUP(C967, customers!$A:$A, customers!$G:$G,,0)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f>INDEX(products!$A$1:$G$49,MATCH(orders!$D967,products!$A$1:$A$49,0),MATCH(orders!L$1,products!$A$1:$G$1,0))</f>
        <v>9.9499999999999993</v>
      </c>
      <c r="M967">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cm="1">
        <f t="array" ref="F968">_xlfn.XLOOKUP(C968,customers!$A$1:$A1967,customers!$B$1:$B1967,,0)</f>
        <v>Bearnard Wardell</v>
      </c>
      <c r="G968" s="2" t="str">
        <f>IF(_xlfn.XLOOKUP(C968, customers!$A:$A, customers!$C:$C,,0)=0, "", _xlfn.XLOOKUP(C968, customers!$A:$A, customers!$C:$C,,0))</f>
        <v>bwardellqu@adobe.com</v>
      </c>
      <c r="H968" s="2" t="str">
        <f>_xlfn.XLOOKUP(C968, customers!$A:$A, customers!$G:$G,,0)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f>INDEX(products!$A$1:$G$49,MATCH(orders!$D968,products!$A$1:$A$49,0),MATCH(orders!L$1,products!$A$1:$G$1,0))</f>
        <v>8.91</v>
      </c>
      <c r="M968">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cm="1">
        <f t="array" ref="F969">_xlfn.XLOOKUP(C969,customers!$A$1:$A1968,customers!$B$1:$B1968,,0)</f>
        <v>Zeke Walisiak</v>
      </c>
      <c r="G969" s="2" t="str">
        <f>IF(_xlfn.XLOOKUP(C969, customers!$A:$A, customers!$C:$C,,0)=0, "", _xlfn.XLOOKUP(C969, customers!$A:$A, customers!$C:$C,,0))</f>
        <v>zwalisiakqv@ucsd.edu</v>
      </c>
      <c r="H969" s="2" t="str">
        <f>_xlfn.XLOOKUP(C969, customers!$A:$A, customers!$G:$G,,0)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f>INDEX(products!$A$1:$G$49,MATCH(orders!$D969,products!$A$1:$A$49,0),MATCH(orders!L$1,products!$A$1:$G$1,0))</f>
        <v>2.6849999999999996</v>
      </c>
      <c r="M969">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cm="1">
        <f t="array" ref="F970">_xlfn.XLOOKUP(C970,customers!$A$1:$A1969,customers!$B$1:$B1969,,0)</f>
        <v>Wiley Leopold</v>
      </c>
      <c r="G970" s="2" t="str">
        <f>IF(_xlfn.XLOOKUP(C970, customers!$A:$A, customers!$C:$C,,0)=0, "", _xlfn.XLOOKUP(C970, customers!$A:$A, customers!$C:$C,,0))</f>
        <v>wleopoldqw@blogspot.com</v>
      </c>
      <c r="H970" s="2" t="str">
        <f>_xlfn.XLOOKUP(C970, customers!$A:$A, customers!$G:$G,,0)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f>INDEX(products!$A$1:$G$49,MATCH(orders!$D970,products!$A$1:$A$49,0),MATCH(orders!L$1,products!$A$1:$G$1,0))</f>
        <v>2.9849999999999999</v>
      </c>
      <c r="M970">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cm="1">
        <f t="array" ref="F971">_xlfn.XLOOKUP(C971,customers!$A$1:$A1970,customers!$B$1:$B1970,,0)</f>
        <v>Chiarra Shalders</v>
      </c>
      <c r="G971" s="2" t="str">
        <f>IF(_xlfn.XLOOKUP(C971, customers!$A:$A, customers!$C:$C,,0)=0, "", _xlfn.XLOOKUP(C971, customers!$A:$A, customers!$C:$C,,0))</f>
        <v>cshaldersqx@cisco.com</v>
      </c>
      <c r="H971" s="2" t="str">
        <f>_xlfn.XLOOKUP(C971, customers!$A:$A, customers!$G:$G,,0)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f>INDEX(products!$A$1:$G$49,MATCH(orders!$D971,products!$A$1:$A$49,0),MATCH(orders!L$1,products!$A$1:$G$1,0))</f>
        <v>12.95</v>
      </c>
      <c r="M971">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cm="1">
        <f t="array" ref="F972">_xlfn.XLOOKUP(C972,customers!$A$1:$A1971,customers!$B$1:$B1971,,0)</f>
        <v>Sharl Southerill</v>
      </c>
      <c r="G972" s="2" t="str">
        <f>IF(_xlfn.XLOOKUP(C972, customers!$A:$A, customers!$C:$C,,0)=0, "", _xlfn.XLOOKUP(C972, customers!$A:$A, customers!$C:$C,,0))</f>
        <v/>
      </c>
      <c r="H972" s="2" t="str">
        <f>_xlfn.XLOOKUP(C972, customers!$A:$A, customers!$G:$G,,0)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f>INDEX(products!$A$1:$G$49,MATCH(orders!$D972,products!$A$1:$A$49,0),MATCH(orders!L$1,products!$A$1:$G$1,0))</f>
        <v>8.25</v>
      </c>
      <c r="M972">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cm="1">
        <f t="array" ref="F973">_xlfn.XLOOKUP(C973,customers!$A$1:$A1972,customers!$B$1:$B1972,,0)</f>
        <v>Noni Furber</v>
      </c>
      <c r="G973" s="2" t="str">
        <f>IF(_xlfn.XLOOKUP(C973, customers!$A:$A, customers!$C:$C,,0)=0, "", _xlfn.XLOOKUP(C973, customers!$A:$A, customers!$C:$C,,0))</f>
        <v>nfurberqz@jugem.jp</v>
      </c>
      <c r="H973" s="2" t="str">
        <f>_xlfn.XLOOKUP(C973, customers!$A:$A, customers!$G:$G,,0)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f>INDEX(products!$A$1:$G$49,MATCH(orders!$D973,products!$A$1:$A$49,0),MATCH(orders!L$1,products!$A$1:$G$1,0))</f>
        <v>29.784999999999997</v>
      </c>
      <c r="M973">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cm="1">
        <f t="array" ref="F974">_xlfn.XLOOKUP(C974,customers!$A$1:$A1973,customers!$B$1:$B1973,,0)</f>
        <v>Dinah Crutcher</v>
      </c>
      <c r="G974" s="2" t="str">
        <f>IF(_xlfn.XLOOKUP(C974, customers!$A:$A, customers!$C:$C,,0)=0, "", _xlfn.XLOOKUP(C974, customers!$A:$A, customers!$C:$C,,0))</f>
        <v/>
      </c>
      <c r="H974" s="2" t="str">
        <f>_xlfn.XLOOKUP(C974, customers!$A:$A, customers!$G:$G,,0)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f>INDEX(products!$A$1:$G$49,MATCH(orders!$D974,products!$A$1:$A$49,0),MATCH(orders!L$1,products!$A$1:$G$1,0))</f>
        <v>29.784999999999997</v>
      </c>
      <c r="M974">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cm="1">
        <f t="array" ref="F975">_xlfn.XLOOKUP(C975,customers!$A$1:$A1974,customers!$B$1:$B1974,,0)</f>
        <v>Charlean Keave</v>
      </c>
      <c r="G975" s="2" t="str">
        <f>IF(_xlfn.XLOOKUP(C975, customers!$A:$A, customers!$C:$C,,0)=0, "", _xlfn.XLOOKUP(C975, customers!$A:$A, customers!$C:$C,,0))</f>
        <v>ckeaver1@ucoz.com</v>
      </c>
      <c r="H975" s="2" t="str">
        <f>_xlfn.XLOOKUP(C975, customers!$A:$A, customers!$G:$G,,0)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f>INDEX(products!$A$1:$G$49,MATCH(orders!$D975,products!$A$1:$A$49,0),MATCH(orders!L$1,products!$A$1:$G$1,0))</f>
        <v>14.55</v>
      </c>
      <c r="M97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cm="1">
        <f t="array" ref="F976">_xlfn.XLOOKUP(C976,customers!$A$1:$A1975,customers!$B$1:$B1975,,0)</f>
        <v>Sada Roseborough</v>
      </c>
      <c r="G976" s="2" t="str">
        <f>IF(_xlfn.XLOOKUP(C976, customers!$A:$A, customers!$C:$C,,0)=0, "", _xlfn.XLOOKUP(C976, customers!$A:$A, customers!$C:$C,,0))</f>
        <v>sroseboroughr2@virginia.edu</v>
      </c>
      <c r="H976" s="2" t="str">
        <f>_xlfn.XLOOKUP(C976, customers!$A:$A, customers!$G:$G,,0)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f>INDEX(products!$A$1:$G$49,MATCH(orders!$D976,products!$A$1:$A$49,0),MATCH(orders!L$1,products!$A$1:$G$1,0))</f>
        <v>5.3699999999999992</v>
      </c>
      <c r="M976">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cm="1">
        <f t="array" ref="F977">_xlfn.XLOOKUP(C977,customers!$A$1:$A1976,customers!$B$1:$B1976,,0)</f>
        <v>Clayton Kingwell</v>
      </c>
      <c r="G977" s="2" t="str">
        <f>IF(_xlfn.XLOOKUP(C977, customers!$A:$A, customers!$C:$C,,0)=0, "", _xlfn.XLOOKUP(C977, customers!$A:$A, customers!$C:$C,,0))</f>
        <v>ckingwellr3@squarespace.com</v>
      </c>
      <c r="H977" s="2" t="str">
        <f>_xlfn.XLOOKUP(C977, customers!$A:$A, customers!$G:$G,,0)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f>INDEX(products!$A$1:$G$49,MATCH(orders!$D977,products!$A$1:$A$49,0),MATCH(orders!L$1,products!$A$1:$G$1,0))</f>
        <v>2.9849999999999999</v>
      </c>
      <c r="M977">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cm="1">
        <f t="array" ref="F978">_xlfn.XLOOKUP(C978,customers!$A$1:$A1977,customers!$B$1:$B1977,,0)</f>
        <v>Kacy Canto</v>
      </c>
      <c r="G978" s="2" t="str">
        <f>IF(_xlfn.XLOOKUP(C978, customers!$A:$A, customers!$C:$C,,0)=0, "", _xlfn.XLOOKUP(C978, customers!$A:$A, customers!$C:$C,,0))</f>
        <v>kcantor4@gmpg.org</v>
      </c>
      <c r="H978" s="2" t="str">
        <f>_xlfn.XLOOKUP(C978, customers!$A:$A, customers!$G:$G,,0)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f>INDEX(products!$A$1:$G$49,MATCH(orders!$D978,products!$A$1:$A$49,0),MATCH(orders!L$1,products!$A$1:$G$1,0))</f>
        <v>27.484999999999996</v>
      </c>
      <c r="M978">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cm="1">
        <f t="array" ref="F979">_xlfn.XLOOKUP(C979,customers!$A$1:$A1978,customers!$B$1:$B1978,,0)</f>
        <v>Mab Blakemore</v>
      </c>
      <c r="G979" s="2" t="str">
        <f>IF(_xlfn.XLOOKUP(C979, customers!$A:$A, customers!$C:$C,,0)=0, "", _xlfn.XLOOKUP(C979, customers!$A:$A, customers!$C:$C,,0))</f>
        <v>mblakemorer5@nsw.gov.au</v>
      </c>
      <c r="H979" s="2" t="str">
        <f>_xlfn.XLOOKUP(C979, customers!$A:$A, customers!$G:$G,,0)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f>INDEX(products!$A$1:$G$49,MATCH(orders!$D979,products!$A$1:$A$49,0),MATCH(orders!L$1,products!$A$1:$G$1,0))</f>
        <v>11.95</v>
      </c>
      <c r="M979">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cm="1">
        <f t="array" ref="F980">_xlfn.XLOOKUP(C980,customers!$A$1:$A1979,customers!$B$1:$B1979,,0)</f>
        <v>Charlean Keave</v>
      </c>
      <c r="G980" s="2" t="str">
        <f>IF(_xlfn.XLOOKUP(C980, customers!$A:$A, customers!$C:$C,,0)=0, "", _xlfn.XLOOKUP(C980, customers!$A:$A, customers!$C:$C,,0))</f>
        <v>ckeaver1@ucoz.com</v>
      </c>
      <c r="H980" s="2" t="str">
        <f>_xlfn.XLOOKUP(C980, customers!$A:$A, customers!$G:$G,,0)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f>INDEX(products!$A$1:$G$49,MATCH(orders!$D980,products!$A$1:$A$49,0),MATCH(orders!L$1,products!$A$1:$G$1,0))</f>
        <v>7.77</v>
      </c>
      <c r="M980">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cm="1">
        <f t="array" ref="F981">_xlfn.XLOOKUP(C981,customers!$A$1:$A1980,customers!$B$1:$B1980,,0)</f>
        <v>Javier Causnett</v>
      </c>
      <c r="G981" s="2" t="str">
        <f>IF(_xlfn.XLOOKUP(C981, customers!$A:$A, customers!$C:$C,,0)=0, "", _xlfn.XLOOKUP(C981, customers!$A:$A, customers!$C:$C,,0))</f>
        <v/>
      </c>
      <c r="H981" s="2" t="str">
        <f>_xlfn.XLOOKUP(C981, customers!$A:$A, customers!$G:$G,,0)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f>INDEX(products!$A$1:$G$49,MATCH(orders!$D981,products!$A$1:$A$49,0),MATCH(orders!L$1,products!$A$1:$G$1,0))</f>
        <v>5.3699999999999992</v>
      </c>
      <c r="M981">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cm="1">
        <f t="array" ref="F982">_xlfn.XLOOKUP(C982,customers!$A$1:$A1981,customers!$B$1:$B1981,,0)</f>
        <v>Demetris Micheli</v>
      </c>
      <c r="G982" s="2" t="str">
        <f>IF(_xlfn.XLOOKUP(C982, customers!$A:$A, customers!$C:$C,,0)=0, "", _xlfn.XLOOKUP(C982, customers!$A:$A, customers!$C:$C,,0))</f>
        <v/>
      </c>
      <c r="H982" s="2" t="str">
        <f>_xlfn.XLOOKUP(C982, customers!$A:$A, customers!$G:$G,,0)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f>INDEX(products!$A$1:$G$49,MATCH(orders!$D982,products!$A$1:$A$49,0),MATCH(orders!L$1,products!$A$1:$G$1,0))</f>
        <v>27.945</v>
      </c>
      <c r="M982">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cm="1">
        <f t="array" ref="F983">_xlfn.XLOOKUP(C983,customers!$A$1:$A1982,customers!$B$1:$B1982,,0)</f>
        <v>Chloette Bernardot</v>
      </c>
      <c r="G983" s="2" t="str">
        <f>IF(_xlfn.XLOOKUP(C983, customers!$A:$A, customers!$C:$C,,0)=0, "", _xlfn.XLOOKUP(C983, customers!$A:$A, customers!$C:$C,,0))</f>
        <v>cbernardotr9@wix.com</v>
      </c>
      <c r="H983" s="2" t="str">
        <f>_xlfn.XLOOKUP(C983, customers!$A:$A, customers!$G:$G,,0)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f>INDEX(products!$A$1:$G$49,MATCH(orders!$D983,products!$A$1:$A$49,0),MATCH(orders!L$1,products!$A$1:$G$1,0))</f>
        <v>3.645</v>
      </c>
      <c r="M983">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cm="1">
        <f t="array" ref="F984">_xlfn.XLOOKUP(C984,customers!$A$1:$A1983,customers!$B$1:$B1983,,0)</f>
        <v>Kim Kemery</v>
      </c>
      <c r="G984" s="2" t="str">
        <f>IF(_xlfn.XLOOKUP(C984, customers!$A:$A, customers!$C:$C,,0)=0, "", _xlfn.XLOOKUP(C984, customers!$A:$A, customers!$C:$C,,0))</f>
        <v>kkemeryra@t.co</v>
      </c>
      <c r="H984" s="2" t="str">
        <f>_xlfn.XLOOKUP(C984, customers!$A:$A, customers!$G:$G,,0)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f>INDEX(products!$A$1:$G$49,MATCH(orders!$D984,products!$A$1:$A$49,0),MATCH(orders!L$1,products!$A$1:$G$1,0))</f>
        <v>11.95</v>
      </c>
      <c r="M984">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cm="1">
        <f t="array" ref="F985">_xlfn.XLOOKUP(C985,customers!$A$1:$A1984,customers!$B$1:$B1984,,0)</f>
        <v>Fanchette Parlot</v>
      </c>
      <c r="G985" s="2" t="str">
        <f>IF(_xlfn.XLOOKUP(C985, customers!$A:$A, customers!$C:$C,,0)=0, "", _xlfn.XLOOKUP(C985, customers!$A:$A, customers!$C:$C,,0))</f>
        <v>fparlotrb@forbes.com</v>
      </c>
      <c r="H985" s="2" t="str">
        <f>_xlfn.XLOOKUP(C985, customers!$A:$A, customers!$G:$G,,0)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f>INDEX(products!$A$1:$G$49,MATCH(orders!$D985,products!$A$1:$A$49,0),MATCH(orders!L$1,products!$A$1:$G$1,0))</f>
        <v>3.375</v>
      </c>
      <c r="M98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cm="1">
        <f t="array" ref="F986">_xlfn.XLOOKUP(C986,customers!$A$1:$A1985,customers!$B$1:$B1985,,0)</f>
        <v>Ramon Cheak</v>
      </c>
      <c r="G986" s="2" t="str">
        <f>IF(_xlfn.XLOOKUP(C986, customers!$A:$A, customers!$C:$C,,0)=0, "", _xlfn.XLOOKUP(C986, customers!$A:$A, customers!$C:$C,,0))</f>
        <v>rcheakrc@tripadvisor.com</v>
      </c>
      <c r="H986" s="2" t="str">
        <f>_xlfn.XLOOKUP(C986, customers!$A:$A, customers!$G:$G,,0)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f>INDEX(products!$A$1:$G$49,MATCH(orders!$D986,products!$A$1:$A$49,0),MATCH(orders!L$1,products!$A$1:$G$1,0))</f>
        <v>31.624999999999996</v>
      </c>
      <c r="M986">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cm="1">
        <f t="array" ref="F987">_xlfn.XLOOKUP(C987,customers!$A$1:$A1986,customers!$B$1:$B1986,,0)</f>
        <v>Koressa O'Geneay</v>
      </c>
      <c r="G987" s="2" t="str">
        <f>IF(_xlfn.XLOOKUP(C987, customers!$A:$A, customers!$C:$C,,0)=0, "", _xlfn.XLOOKUP(C987, customers!$A:$A, customers!$C:$C,,0))</f>
        <v>kogeneayrd@utexas.edu</v>
      </c>
      <c r="H987" s="2" t="str">
        <f>_xlfn.XLOOKUP(C987, customers!$A:$A, customers!$G:$G,,0)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f>INDEX(products!$A$1:$G$49,MATCH(orders!$D987,products!$A$1:$A$49,0),MATCH(orders!L$1,products!$A$1:$G$1,0))</f>
        <v>11.95</v>
      </c>
      <c r="M987">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cm="1">
        <f t="array" ref="F988">_xlfn.XLOOKUP(C988,customers!$A$1:$A1987,customers!$B$1:$B1987,,0)</f>
        <v>Claudell Ayre</v>
      </c>
      <c r="G988" s="2" t="str">
        <f>IF(_xlfn.XLOOKUP(C988, customers!$A:$A, customers!$C:$C,,0)=0, "", _xlfn.XLOOKUP(C988, customers!$A:$A, customers!$C:$C,,0))</f>
        <v>cayrere@symantec.com</v>
      </c>
      <c r="H988" s="2" t="str">
        <f>_xlfn.XLOOKUP(C988, customers!$A:$A, customers!$G:$G,,0)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f>INDEX(products!$A$1:$G$49,MATCH(orders!$D988,products!$A$1:$A$49,0),MATCH(orders!L$1,products!$A$1:$G$1,0))</f>
        <v>33.464999999999996</v>
      </c>
      <c r="M988">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cm="1">
        <f t="array" ref="F989">_xlfn.XLOOKUP(C989,customers!$A$1:$A1988,customers!$B$1:$B1988,,0)</f>
        <v>Lorianne Kyneton</v>
      </c>
      <c r="G989" s="2" t="str">
        <f>IF(_xlfn.XLOOKUP(C989, customers!$A:$A, customers!$C:$C,,0)=0, "", _xlfn.XLOOKUP(C989, customers!$A:$A, customers!$C:$C,,0))</f>
        <v>lkynetonrf@macromedia.com</v>
      </c>
      <c r="H989" s="2" t="str">
        <f>_xlfn.XLOOKUP(C989, customers!$A:$A, customers!$G:$G,,0)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f>INDEX(products!$A$1:$G$49,MATCH(orders!$D989,products!$A$1:$A$49,0),MATCH(orders!L$1,products!$A$1:$G$1,0))</f>
        <v>5.97</v>
      </c>
      <c r="M989">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cm="1">
        <f t="array" ref="F990">_xlfn.XLOOKUP(C990,customers!$A$1:$A1989,customers!$B$1:$B1989,,0)</f>
        <v>Adele McFayden</v>
      </c>
      <c r="G990" s="2" t="str">
        <f>IF(_xlfn.XLOOKUP(C990, customers!$A:$A, customers!$C:$C,,0)=0, "", _xlfn.XLOOKUP(C990, customers!$A:$A, customers!$C:$C,,0))</f>
        <v/>
      </c>
      <c r="H990" s="2" t="str">
        <f>_xlfn.XLOOKUP(C990, customers!$A:$A, customers!$G:$G,,0)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f>INDEX(products!$A$1:$G$49,MATCH(orders!$D990,products!$A$1:$A$49,0),MATCH(orders!L$1,products!$A$1:$G$1,0))</f>
        <v>9.9499999999999993</v>
      </c>
      <c r="M990">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cm="1">
        <f t="array" ref="F991">_xlfn.XLOOKUP(C991,customers!$A$1:$A1990,customers!$B$1:$B1990,,0)</f>
        <v>Herta Layne</v>
      </c>
      <c r="G991" s="2" t="str">
        <f>IF(_xlfn.XLOOKUP(C991, customers!$A:$A, customers!$C:$C,,0)=0, "", _xlfn.XLOOKUP(C991, customers!$A:$A, customers!$C:$C,,0))</f>
        <v/>
      </c>
      <c r="H991" s="2" t="str">
        <f>_xlfn.XLOOKUP(C991, customers!$A:$A, customers!$G:$G,,0)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f>INDEX(products!$A$1:$G$49,MATCH(orders!$D991,products!$A$1:$A$49,0),MATCH(orders!L$1,products!$A$1:$G$1,0))</f>
        <v>25.874999999999996</v>
      </c>
      <c r="M991">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cm="1">
        <f t="array" ref="F992">_xlfn.XLOOKUP(C992,customers!$A$1:$A1991,customers!$B$1:$B1991,,0)</f>
        <v>Marguerite Graves</v>
      </c>
      <c r="G992" s="2" t="str">
        <f>IF(_xlfn.XLOOKUP(C992, customers!$A:$A, customers!$C:$C,,0)=0, "", _xlfn.XLOOKUP(C992, customers!$A:$A, customers!$C:$C,,0))</f>
        <v/>
      </c>
      <c r="H992" s="2" t="str">
        <f>_xlfn.XLOOKUP(C992, customers!$A:$A, customers!$G:$G,,0)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f>INDEX(products!$A$1:$G$49,MATCH(orders!$D992,products!$A$1:$A$49,0),MATCH(orders!L$1,products!$A$1:$G$1,0))</f>
        <v>3.645</v>
      </c>
      <c r="M992">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cm="1">
        <f t="array" ref="F993">_xlfn.XLOOKUP(C993,customers!$A$1:$A1992,customers!$B$1:$B1992,,0)</f>
        <v>Marguerite Graves</v>
      </c>
      <c r="G993" s="2" t="str">
        <f>IF(_xlfn.XLOOKUP(C993, customers!$A:$A, customers!$C:$C,,0)=0, "", _xlfn.XLOOKUP(C993, customers!$A:$A, customers!$C:$C,,0))</f>
        <v/>
      </c>
      <c r="H993" s="2" t="str">
        <f>_xlfn.XLOOKUP(C993, customers!$A:$A, customers!$G:$G,,0)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f>INDEX(products!$A$1:$G$49,MATCH(orders!$D993,products!$A$1:$A$49,0),MATCH(orders!L$1,products!$A$1:$G$1,0))</f>
        <v>7.77</v>
      </c>
      <c r="M993">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cm="1">
        <f t="array" ref="F994">_xlfn.XLOOKUP(C994,customers!$A$1:$A1993,customers!$B$1:$B1993,,0)</f>
        <v>Desdemona Eye</v>
      </c>
      <c r="G994" s="2" t="str">
        <f>IF(_xlfn.XLOOKUP(C994, customers!$A:$A, customers!$C:$C,,0)=0, "", _xlfn.XLOOKUP(C994, customers!$A:$A, customers!$C:$C,,0))</f>
        <v/>
      </c>
      <c r="H994" s="2" t="str">
        <f>_xlfn.XLOOKUP(C994, customers!$A:$A, customers!$G:$G,,0)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f>INDEX(products!$A$1:$G$49,MATCH(orders!$D994,products!$A$1:$A$49,0),MATCH(orders!L$1,products!$A$1:$G$1,0))</f>
        <v>36.454999999999998</v>
      </c>
      <c r="M994">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cm="1">
        <f t="array" ref="F995">_xlfn.XLOOKUP(C995,customers!$A$1:$A1994,customers!$B$1:$B1994,,0)</f>
        <v>Margarette Sterland</v>
      </c>
      <c r="G995" s="2" t="str">
        <f>IF(_xlfn.XLOOKUP(C995, customers!$A:$A, customers!$C:$C,,0)=0, "", _xlfn.XLOOKUP(C995, customers!$A:$A, customers!$C:$C,,0))</f>
        <v/>
      </c>
      <c r="H995" s="2" t="str">
        <f>_xlfn.XLOOKUP(C995, customers!$A:$A, customers!$G:$G,,0)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f>INDEX(products!$A$1:$G$49,MATCH(orders!$D995,products!$A$1:$A$49,0),MATCH(orders!L$1,products!$A$1:$G$1,0))</f>
        <v>12.95</v>
      </c>
      <c r="M99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cm="1">
        <f t="array" ref="F996">_xlfn.XLOOKUP(C996,customers!$A$1:$A1995,customers!$B$1:$B1995,,0)</f>
        <v>Catharine Scoines</v>
      </c>
      <c r="G996" s="2" t="str">
        <f>IF(_xlfn.XLOOKUP(C996, customers!$A:$A, customers!$C:$C,,0)=0, "", _xlfn.XLOOKUP(C996, customers!$A:$A, customers!$C:$C,,0))</f>
        <v/>
      </c>
      <c r="H996" s="2" t="str">
        <f>_xlfn.XLOOKUP(C996, customers!$A:$A, customers!$G:$G,,0)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f>INDEX(products!$A$1:$G$49,MATCH(orders!$D996,products!$A$1:$A$49,0),MATCH(orders!L$1,products!$A$1:$G$1,0))</f>
        <v>2.9849999999999999</v>
      </c>
      <c r="M996">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cm="1">
        <f t="array" ref="F997">_xlfn.XLOOKUP(C997,customers!$A$1:$A1996,customers!$B$1:$B1996,,0)</f>
        <v>Jennica Tewelson</v>
      </c>
      <c r="G997" s="2" t="str">
        <f>IF(_xlfn.XLOOKUP(C997, customers!$A:$A, customers!$C:$C,,0)=0, "", _xlfn.XLOOKUP(C997, customers!$A:$A, customers!$C:$C,,0))</f>
        <v>jtewelsonrn@samsung.com</v>
      </c>
      <c r="H997" s="2" t="str">
        <f>_xlfn.XLOOKUP(C997, customers!$A:$A, customers!$G:$G,,0)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f>INDEX(products!$A$1:$G$49,MATCH(orders!$D997,products!$A$1:$A$49,0),MATCH(orders!L$1,products!$A$1:$G$1,0))</f>
        <v>27.484999999999996</v>
      </c>
      <c r="M997">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cm="1">
        <f t="array" ref="F998">_xlfn.XLOOKUP(C998,customers!$A$1:$A1997,customers!$B$1:$B1997,,0)</f>
        <v>Marguerite Graves</v>
      </c>
      <c r="G998" s="2" t="str">
        <f>IF(_xlfn.XLOOKUP(C998, customers!$A:$A, customers!$C:$C,,0)=0, "", _xlfn.XLOOKUP(C998, customers!$A:$A, customers!$C:$C,,0))</f>
        <v/>
      </c>
      <c r="H998" s="2" t="str">
        <f>_xlfn.XLOOKUP(C998, customers!$A:$A, customers!$G:$G,,0)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f>INDEX(products!$A$1:$G$49,MATCH(orders!$D998,products!$A$1:$A$49,0),MATCH(orders!L$1,products!$A$1:$G$1,0))</f>
        <v>5.97</v>
      </c>
      <c r="M998">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cm="1">
        <f t="array" ref="F999">_xlfn.XLOOKUP(C999,customers!$A$1:$A1998,customers!$B$1:$B1998,,0)</f>
        <v>Marguerite Graves</v>
      </c>
      <c r="G999" s="2" t="str">
        <f>IF(_xlfn.XLOOKUP(C999, customers!$A:$A, customers!$C:$C,,0)=0, "", _xlfn.XLOOKUP(C999, customers!$A:$A, customers!$C:$C,,0))</f>
        <v/>
      </c>
      <c r="H999" s="2" t="str">
        <f>_xlfn.XLOOKUP(C999, customers!$A:$A, customers!$G:$G,,0)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f>INDEX(products!$A$1:$G$49,MATCH(orders!$D999,products!$A$1:$A$49,0),MATCH(orders!L$1,products!$A$1:$G$1,0))</f>
        <v>6.75</v>
      </c>
      <c r="M999">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cm="1">
        <f t="array" ref="F1000">_xlfn.XLOOKUP(C1000,customers!$A$1:$A1999,customers!$B$1:$B1999,,0)</f>
        <v>Nicolina Jenny</v>
      </c>
      <c r="G1000" s="2" t="str">
        <f>IF(_xlfn.XLOOKUP(C1000, customers!$A:$A, customers!$C:$C,,0)=0, "", _xlfn.XLOOKUP(C1000, customers!$A:$A, customers!$C:$C,,0))</f>
        <v>njennyrq@bigcartel.com</v>
      </c>
      <c r="H1000" s="2" t="str">
        <f>_xlfn.XLOOKUP(C1000, customers!$A:$A, customers!$G:$G,,0)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f>INDEX(products!$A$1:$G$49,MATCH(orders!$D1000,products!$A$1:$A$49,0),MATCH(orders!L$1,products!$A$1:$G$1,0))</f>
        <v>9.9499999999999993</v>
      </c>
      <c r="M1000">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cm="1">
        <f t="array" ref="F1001">_xlfn.XLOOKUP(C1001,customers!$A$1:$A2000,customers!$B$1:$B2000,,0)</f>
        <v>Vidovic Antonelli</v>
      </c>
      <c r="G1001" s="2" t="str">
        <f>IF(_xlfn.XLOOKUP(C1001, customers!$A:$A, customers!$C:$C,,0)=0, "", _xlfn.XLOOKUP(C1001, customers!$A:$A, customers!$C:$C,,0))</f>
        <v/>
      </c>
      <c r="H1001" s="2" t="str">
        <f>_xlfn.XLOOKUP(C1001, customers!$A:$A, customers!$G:$G,,0)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f>INDEX(products!$A$1:$G$49,MATCH(orders!$D1001,products!$A$1:$A$49,0),MATCH(orders!L$1,products!$A$1:$G$1,0))</f>
        <v>4.125</v>
      </c>
      <c r="M1001">
        <f t="shared" si="45"/>
        <v>12.375</v>
      </c>
      <c r="N1001" t="str">
        <f t="shared" si="46"/>
        <v>Excelsa</v>
      </c>
      <c r="O1001" t="str">
        <f t="shared" si="47"/>
        <v>Medium</v>
      </c>
      <c r="P1001" t="str">
        <f>_xlfn.XLOOKUP(Orders[[#This Row],[Customer ID]],customers!$A$1:$A$1001,customers!$I$1:$I$1001,,0)</f>
        <v>Yes</v>
      </c>
    </row>
    <row r="1002" spans="1:16" x14ac:dyDescent="0.25">
      <c r="G1002" s="2" t="str">
        <f>IF(_xlfn.XLOOKUP(C1002, customers!$A1001:$A2001,customers!$C1001:$C2001,,0)=0,"",_xlfn.XLOOKUP(C1002, customers!$A1001:$A2001,customers!$C1001:$C2001,,0))</f>
        <v/>
      </c>
      <c r="H1002" s="2"/>
      <c r="K1002" s="4"/>
      <c r="N1002" t="str">
        <f>IF(I1002="Rob", "Robusta", IF(I1002="Exc","Excelsa",IF(I1002="Ara","Arabica", IF(I1002="Lib","Liberica",""))))</f>
        <v/>
      </c>
    </row>
    <row r="1003" spans="1:16" x14ac:dyDescent="0.25">
      <c r="G1003" s="2" t="str">
        <f>IF(_xlfn.XLOOKUP(C1003, customers!$A1002:$A2002,customers!$C1002:$C2002,,0)=0,"",_xlfn.XLOOKUP(C1003, customers!$A1002:$A2002,customers!$C1002:$C2002,,0))</f>
        <v/>
      </c>
      <c r="H1003" s="2"/>
      <c r="K1003" s="4"/>
      <c r="N1003" t="str">
        <f t="shared" si="46"/>
        <v/>
      </c>
    </row>
    <row r="1004" spans="1:16" x14ac:dyDescent="0.25">
      <c r="G1004" s="2" t="str">
        <f>IF(_xlfn.XLOOKUP(C1004, customers!$A1003:$A2003,customers!$C1003:$C2003,,0)=0,"",_xlfn.XLOOKUP(C1004, customers!$A1003:$A2003,customers!$C1003:$C2003,,0))</f>
        <v/>
      </c>
      <c r="H1004" s="2"/>
      <c r="K1004"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1" sqref="B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Top5Customers</vt:lpstr>
      <vt:lpstr>CountryBarChart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ADRIANA BINTI MOHD RIDZO</cp:lastModifiedBy>
  <cp:revision/>
  <dcterms:created xsi:type="dcterms:W3CDTF">2022-11-26T09:51:45Z</dcterms:created>
  <dcterms:modified xsi:type="dcterms:W3CDTF">2026-10-07T16:40:18Z</dcterms:modified>
  <cp:category/>
  <cp:contentStatus/>
</cp:coreProperties>
</file>